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" sheetId="2" state="visible" r:id="rId2"/>
    <sheet name="Geometry" sheetId="3" state="visible" r:id="rId3"/>
    <sheet name="Stiffness" sheetId="4" state="visible" r:id="rId4"/>
    <sheet name="Rotation" sheetId="5" state="visible" r:id="rId5"/>
    <sheet name="Stress" sheetId="6" state="visible" r:id="rId6"/>
    <sheet name="Pressure" sheetId="7" state="visible" r:id="rId7"/>
    <sheet name="Check" sheetId="8" state="visible" r:id="rId8"/>
  </sheets>
  <definedNames>
    <definedName name="in_id">'Input'!$B$6</definedName>
    <definedName name="in_p">'Input'!$B$11</definedName>
    <definedName name="in_H">'Input'!$B$12</definedName>
    <definedName name="in_t">'Input'!$B$13</definedName>
    <definedName name="in_mode">'Input'!$B$14</definedName>
    <definedName name="in_Rc">'Input'!$B$15</definedName>
    <definedName name="in_Rv">'Input'!$B$16</definedName>
    <definedName name="in_alpha">'Input'!$B$17</definedName>
    <definedName name="in_dims">'Input'!$B$18</definedName>
    <definedName name="in_pitchref">'Input'!$B$19</definedName>
    <definedName name="in_beta">'Input'!$B$23</definedName>
    <definedName name="in_betaref">'Input'!$B$24</definedName>
    <definedName name="in_E">'Input'!$B$29</definedName>
    <definedName name="in_nu">'Input'!$B$30</definedName>
    <definedName name="in_rho">'Input'!$B$31</definedName>
    <definedName name="in_tmin">'Input'!$B$32</definedName>
    <definedName name="in_CA">'Input'!$B$33</definedName>
    <definedName name="in_Sallow">'Input'!$B$34</definedName>
    <definedName name="in_dP">'Input'!$B$38</definedName>
    <definedName name="in_face">'Input'!$B$39</definedName>
    <definedName name="in_inplane">'Input'!$B$40</definedName>
    <definedName name="lc_name">'Input'!$B$44</definedName>
    <definedName name="lc_axes">'Input'!$B$45</definedName>
    <definedName name="lc_zone">'Input'!$B$46</definedName>
    <definedName name="lc_Nx">'Input'!$B$47</definedName>
    <definedName name="lc_Ny">'Input'!$B$48</definedName>
    <definedName name="lc_Nxy">'Input'!$B$49</definedName>
    <definedName name="lc_Mx">'Input'!$B$50</definedName>
    <definedName name="lc_My">'Input'!$B$51</definedName>
    <definedName name="lc_Mxy">'Input'!$B$52</definedName>
    <definedName name="lc_allow">'Input'!$B$53</definedName>
    <definedName name="beta_deg">'Geometry'!$B$6</definedName>
    <definedName name="beta">'Geometry'!$B$7</definedName>
    <definedName name="p_">'Geometry'!$B$8</definedName>
    <definedName name="H_mid">'Geometry'!$B$9</definedName>
    <definedName name="h_calc">'Geometry'!$B$10</definedName>
    <definedName name="c_">'Geometry'!$B$11</definedName>
    <definedName name="f_">'Geometry'!$B$12</definedName>
    <definedName name="Rc_in">'Geometry'!$B$16</definedName>
    <definedName name="Rv_in">'Geometry'!$B$17</definedName>
    <definedName name="Rs">'Geometry'!$B$18</definedName>
    <definedName name="a_hi">'Geometry'!$B$19</definedName>
    <definedName name="alpha_A">'Geometry'!$B$44</definedName>
    <definedName name="resid_A">'Geometry'!$B$45</definedName>
    <definedName name="alpha_B">'Geometry'!$B$46</definedName>
    <definedName name="R_B">'Geometry'!$B$47</definedName>
    <definedName name="alpha">'Geometry'!$B$48</definedName>
    <definedName name="alpha_deg">'Geometry'!$B$49</definedName>
    <definedName name="Rc">'Geometry'!$B$50</definedName>
    <definedName name="Rv">'Geometry'!$B$51</definedName>
    <definedName name="TL">'Geometry'!$B$52</definedName>
    <definedName name="Rmin">'Geometry'!$B$53</definedName>
    <definedName name="chk_geom">'Geometry'!$B$54</definedName>
    <definedName name="l_">'Geometry'!$B$58</definedName>
    <definedName name="lam">'Geometry'!$B$59</definedName>
    <definedName name="q_int">'Geometry'!$B$60</definedName>
    <definedName name="I_1">'Geometry'!$B$61</definedName>
    <definedName name="a_c">'Geometry'!$B$62</definedName>
    <definedName name="a_v">'Geometry'!$B$63</definedName>
    <definedName name="z_1">'Geometry'!$B$64</definedName>
    <definedName name="z_2">'Geometry'!$B$65</definedName>
    <definedName name="I_2c">'Geometry'!$B$66</definedName>
    <definedName name="I_2v">'Geometry'!$B$67</definedName>
    <definedName name="I_2f">'Geometry'!$B$68</definedName>
    <definedName name="I_2">'Geometry'!$B$69</definedName>
    <definedName name="J_1">'Geometry'!$B$70</definedName>
    <definedName name="J_2">'Geometry'!$B$71</definedName>
    <definedName name="A_u">'Geometry'!$B$72</definedName>
    <definedName name="I_u">'Geometry'!$B$73</definedName>
    <definedName name="W_u">'Geometry'!$B$74</definedName>
    <definedName name="Hp">'Geometry'!$B$78</definedName>
    <definedName name="tp">'Geometry'!$B$79</definedName>
    <definedName name="tR">'Geometry'!$B$80</definedName>
    <definedName name="warn1">'Geometry'!$B$81</definedName>
    <definedName name="warn2">'Geometry'!$B$82</definedName>
    <definedName name="warn3">'Geometry'!$B$83</definedName>
    <definedName name="warn4">'Geometry'!$B$84</definedName>
    <definedName name="E_">'Stiffness'!$B$6</definedName>
    <definedName name="nu_">'Stiffness'!$B$7</definedName>
    <definedName name="G_">'Stiffness'!$B$8</definedName>
    <definedName name="Q_">'Stiffness'!$B$9</definedName>
    <definedName name="A_11">'Stiffness'!$B$13</definedName>
    <definedName name="A_12">'Stiffness'!$B$14</definedName>
    <definedName name="A_22">'Stiffness'!$B$15</definedName>
    <definedName name="A_66">'Stiffness'!$B$16</definedName>
    <definedName name="D_11">'Stiffness'!$B$17</definedName>
    <definedName name="D_12">'Stiffness'!$B$18</definedName>
    <definedName name="D_22">'Stiffness'!$B$19</definedName>
    <definedName name="D_66">'Stiffness'!$B$20</definedName>
    <definedName name="t_b">'Stiffness'!$B$35</definedName>
    <definedName name="t_b22">'Stiffness'!$B$36</definedName>
    <definedName name="t_s">'Stiffness'!$B$37</definedName>
    <definedName name="t_m">'Stiffness'!$B$38</definedName>
    <definedName name="Ex_h">'Stiffness'!$B$42</definedName>
    <definedName name="Ey_h">'Stiffness'!$B$43</definedName>
    <definedName name="nuxy_h">'Stiffness'!$B$44</definedName>
    <definedName name="GA_h">'Stiffness'!$B$45</definedName>
    <definedName name="GD_h">'Stiffness'!$B$47</definedName>
    <definedName name="Kt">'Stiffness'!$B$52</definedName>
    <definedName name="th_R">'Rotation'!$B$6</definedName>
    <definedName name="th_L">'Rotation'!$B$7</definedName>
    <definedName name="A_11_R">'Rotation'!$B$12</definedName>
    <definedName name="A_11_L">'Rotation'!$C$12</definedName>
    <definedName name="A_22_R">'Rotation'!$B$13</definedName>
    <definedName name="A_22_L">'Rotation'!$C$13</definedName>
    <definedName name="A_12_R">'Rotation'!$B$14</definedName>
    <definedName name="A_12_L">'Rotation'!$C$14</definedName>
    <definedName name="A_66_R">'Rotation'!$B$15</definedName>
    <definedName name="A_66_L">'Rotation'!$C$15</definedName>
    <definedName name="A_16_R">'Rotation'!$B$16</definedName>
    <definedName name="A_16_L">'Rotation'!$C$16</definedName>
    <definedName name="A_26_R">'Rotation'!$B$17</definedName>
    <definedName name="A_26_L">'Rotation'!$C$17</definedName>
    <definedName name="D_11_R">'Rotation'!$B$18</definedName>
    <definedName name="D_11_L">'Rotation'!$C$18</definedName>
    <definedName name="D_22_R">'Rotation'!$B$19</definedName>
    <definedName name="D_22_L">'Rotation'!$C$19</definedName>
    <definedName name="D_12_R">'Rotation'!$B$20</definedName>
    <definedName name="D_12_L">'Rotation'!$C$20</definedName>
    <definedName name="D_66_R">'Rotation'!$B$21</definedName>
    <definedName name="D_66_L">'Rotation'!$C$21</definedName>
    <definedName name="D_16_R">'Rotation'!$B$22</definedName>
    <definedName name="D_16_L">'Rotation'!$C$22</definedName>
    <definedName name="D_26_R">'Rotation'!$B$23</definedName>
    <definedName name="D_26_L">'Rotation'!$C$23</definedName>
    <definedName name="E_ts">'Rotation'!$B$27</definedName>
    <definedName name="dens_a">'Rotation'!$B$28</definedName>
    <definedName name="th_lc">'Stress'!$B$6</definedName>
    <definedName name="mm_">'Stress'!$B$7</definedName>
    <definedName name="nn_">'Stress'!$B$8</definedName>
    <definedName name="Nx">'Stress'!$B$9</definedName>
    <definedName name="Ny">'Stress'!$B$10</definedName>
    <definedName name="Nxy">'Stress'!$B$11</definedName>
    <definedName name="Mx">'Stress'!$B$12</definedName>
    <definedName name="My">'Stress'!$B$13</definedName>
    <definedName name="Mxy">'Stress'!$B$14</definedName>
    <definedName name="detA">'Stress'!$B$18</definedName>
    <definedName name="exx">'Stress'!$B$19</definedName>
    <definedName name="eyy">'Stress'!$B$20</definedName>
    <definedName name="gxy">'Stress'!$B$21</definedName>
    <definedName name="detD">'Stress'!$B$22</definedName>
    <definedName name="kxx">'Stress'!$B$23</definedName>
    <definedName name="kyy">'Stress'!$B$24</definedName>
    <definedName name="kxy">'Stress'!$B$25</definedName>
    <definedName name="CC">'Stress'!$B$29</definedName>
    <definedName name="c_1">'Stress'!$B$30</definedName>
    <definedName name="c_4">'Stress'!$B$31</definedName>
    <definedName name="ch_c">'Stress'!$B$32</definedName>
    <definedName name="ch_v">'Stress'!$B$33</definedName>
    <definedName name="inva1">'Stress'!$B$34</definedName>
    <definedName name="alpha1">'Stress'!$B$35</definedName>
    <definedName name="c_2">'Stress'!$B$36</definedName>
    <definedName name="eps_s_c">'Stress'!$B$41</definedName>
    <definedName name="eps_s_v">'Stress'!$C$41</definedName>
    <definedName name="eps_y_c">'Stress'!$B$42</definedName>
    <definedName name="eps_y_v">'Stress'!$C$42</definedName>
    <definedName name="gam_sy_c">'Stress'!$B$43</definedName>
    <definedName name="gam_sy_v">'Stress'!$C$43</definedName>
    <definedName name="kap_s_c">'Stress'!$B$44</definedName>
    <definedName name="kap_s_v">'Stress'!$C$44</definedName>
    <definedName name="kap_y_c">'Stress'!$B$45</definedName>
    <definedName name="kap_y_v">'Stress'!$C$45</definedName>
    <definedName name="kap_sy2_c">'Stress'!$B$46</definedName>
    <definedName name="kap_sy2_v">'Stress'!$C$46</definedName>
    <definedName name="vm_max">'Stress'!$B$61</definedName>
    <definedName name="vm_where">'Stress'!$B$62</definedName>
    <definedName name="Ns_c">'Stress'!$B$63</definedName>
    <definedName name="Ny_c">'Stress'!$B$64</definedName>
    <definedName name="Ms_c">'Stress'!$B$65</definedName>
    <definedName name="My_c">'Stress'!$B$66</definedName>
    <definedName name="vm_mem">'Stress'!$B$67</definedName>
    <definedName name="allow_">'Stress'!$B$68</definedName>
    <definedName name="ratio_">'Stress'!$B$69</definedName>
    <definedName name="verdict">'Stress'!$B$70</definedName>
    <definedName name="q_p">'Pressure'!$B$6</definedName>
    <definedName name="zsgn">'Pressure'!$B$7</definedName>
    <definedName name="R_load">'Pressure'!$B$8</definedName>
    <definedName name="R_supp">'Pressure'!$B$9</definedName>
    <definedName name="EI_">'Pressure'!$B$10</definedName>
    <definedName name="EA_">'Pressure'!$B$11</definedName>
    <definedName name="a_lat">'Pressure'!$B$15</definedName>
    <definedName name="A_cell">'Pressure'!$B$16</definedName>
    <definedName name="F_c">'Pressure'!$B$17</definedName>
    <definedName name="R_out">'Pressure'!$B$18</definedName>
    <definedName name="phi_c">'Pressure'!$B$19</definedName>
    <definedName name="A_h">'Pressure'!$B$20</definedName>
    <definedName name="B_h">'Pressure'!$B$21</definedName>
    <definedName name="Re_h">'Pressure'!$B$22</definedName>
    <definedName name="Es_h">'Pressure'!$B$23</definedName>
    <definedName name="c_h">'Pressure'!$B$24</definedName>
    <definedName name="p0_h">'Pressure'!$B$25</definedName>
    <definedName name="aMM">'Pressure'!$B$92</definedName>
    <definedName name="aMP">'Pressure'!$B$93</definedName>
    <definedName name="bM">'Pressure'!$B$94</definedName>
    <definedName name="aPP">'Pressure'!$B$95</definedName>
    <definedName name="bP">'Pressure'!$B$96</definedName>
    <definedName name="det_fr">'Pressure'!$B$97</definedName>
    <definedName name="Mc_fr">'Pressure'!$B$98</definedName>
    <definedName name="P_fr">'Pressure'!$B$99</definedName>
    <definedName name="SFx">'Pressure'!$B$103</definedName>
    <definedName name="SFz">'Pressure'!$B$104</definedName>
    <definedName name="Sc_">'Pressure'!$B$105</definedName>
    <definedName name="M_ld">'Pressure'!$B$106</definedName>
    <definedName name="N_ld">'Pressure'!$B$107</definedName>
    <definedName name="M_sp">'Pressure'!$B$108</definedName>
    <definedName name="N_sp">'Pressure'!$B$109</definedName>
    <definedName name="sld_p">'Pressure'!$B$110</definedName>
    <definedName name="sld_m">'Pressure'!$B$111</definedName>
    <definedName name="ssp_p">'Pressure'!$B$112</definedName>
    <definedName name="ssp_m">'Pressure'!$B$113</definedName>
    <definedName name="sfr_max">'Pressure'!$B$114</definedName>
    <definedName name="My_sp">'Pressure'!$B$118</definedName>
    <definedName name="My_md">'Pressure'!$B$119</definedName>
    <definedName name="pvm_max">'Pressure'!$B$134</definedName>
    <definedName name="pvm_where">'Pressure'!$B$135</definedName>
    <definedName name="p_allow">'Pressure'!$B$136</definedName>
    <definedName name="p_ratio">'Pressure'!$B$137</definedName>
    <definedName name="p_verdict">'Pressure'!$B$138</definedName>
    <definedName name="chk_max">'Check'!$B$35</definedName>
    <definedName name="chk_max_p">'Check'!$B$49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#,##0.0"/>
    <numFmt numFmtId="166" formatCode="0.0000E+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99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/>
    </xf>
    <xf numFmtId="0" fontId="5" fillId="2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6" fillId="3" borderId="1" pivotButton="0" quotePrefix="0" xfId="0"/>
    <xf numFmtId="0" fontId="4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0" fontId="7" fillId="0" borderId="1" pivotButton="0" quotePrefix="0" xfId="0"/>
    <xf numFmtId="164" fontId="2" fillId="0" borderId="1" pivotButton="0" quotePrefix="0" xfId="0"/>
    <xf numFmtId="166" fontId="2" fillId="0" borderId="1" pivotButton="0" quotePrefix="0" xfId="0"/>
    <xf numFmtId="0" fontId="2" fillId="4" borderId="1" pivotButton="0" quotePrefix="0" xfId="0"/>
    <xf numFmtId="165" fontId="2" fillId="0" borderId="1" pivotButton="0" quotePrefix="0" xfId="0"/>
    <xf numFmtId="165" fontId="2" fillId="5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810500" cy="45434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29</row>
      <rowOff>0</rowOff>
    </from>
    <ext cx="7810500" cy="4257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19</col>
      <colOff>0</colOff>
      <row>2</row>
      <rowOff>0</rowOff>
    </from>
    <ext cx="7810500" cy="38290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19</col>
      <colOff>0</colOff>
      <row>29</row>
      <rowOff>0</rowOff>
    </from>
    <ext cx="7810500" cy="32575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SPHX_EQV — 쉐브론 전열판 등가 판 계산 시트 (C-2)</t>
        </is>
      </c>
    </row>
    <row r="2">
      <c r="A2" s="2" t="inlineStr"/>
    </row>
    <row r="3">
      <c r="A3" s="2" t="inlineStr">
        <is>
          <t>목적: 원호+접선 주름 단면의 치수와 재료를 입력하면 등가 직교이방성 판 강성(채택식), 등가 두께, ±β 영역 강성, ANSYS 절 입력 문자열,</t>
        </is>
      </c>
    </row>
    <row r="4">
      <c r="A4" s="2" t="inlineStr">
        <is>
          <t xml:space="preserve">      하중 케이스에 대한 능선(산·골) 응력과 허용응력 판정을 수식으로 계산한다. 파이썬 모듈 calc/plate_model.py 와 같은 로직이다.</t>
        </is>
      </c>
    </row>
    <row r="5">
      <c r="A5" s="2" t="inlineStr"/>
    </row>
    <row r="6">
      <c r="A6" s="3" t="inlineStr">
        <is>
          <t>사용법</t>
        </is>
      </c>
    </row>
    <row r="7">
      <c r="A7" s="2" t="inlineStr">
        <is>
          <t xml:space="preserve">  1. 'Input' 시트의 노란 셀(파란 글씨)만 채운다. 나머지 시트는 전부 수식이다 (검정 = 수식, 녹색 = 다른 시트 참조).</t>
        </is>
      </c>
    </row>
    <row r="8">
      <c r="A8" s="2" t="inlineStr">
        <is>
          <t xml:space="preserve">  2. 단면 입력 모드: A = R_c(,R_v) 입력 → 플랭크 각 α 를 Newton 반복으로 계산 / B = α 입력, R_c=R_v 계산.</t>
        </is>
      </c>
    </row>
    <row r="9">
      <c r="A9" s="2" t="inlineStr">
        <is>
          <t xml:space="preserve">  3. 'Geometry' 상단 경고 행과 'Check' 시트(파이썬 대조)를 확인한다. Check 의 오차는 기본값 입력에서만 의미가 있다.</t>
        </is>
      </c>
    </row>
    <row r="10">
      <c r="A10" s="2" t="inlineStr">
        <is>
          <t xml:space="preserve">  4. 'Rotation' 시트 하단의 SSPA/SSPD/SSPE/SSPM 문자열을 ANSYS 입력파일에 복사한다 (비틀림 규약은 E-1 확인 전까지 'verify').</t>
        </is>
      </c>
    </row>
    <row r="11">
      <c r="A11" s="2" t="inlineStr">
        <is>
          <t xml:space="preserve">  5. 'Stress' 시트에 판축 또는 국부축 합력을 넣으면 산·골 × +z/−z 면 4개 표면점의 응력과 최대 von Mises, 허용응력 비가 나온다.</t>
        </is>
      </c>
    </row>
    <row r="12">
      <c r="A12" s="2" t="inlineStr">
        <is>
          <t xml:space="preserve">  6. 입력 항목의 위치는 'Input' 시트 오른쪽 그림 1~4 (단면 / 쉐브론·판축 / 하중 / 응력 출력 위치) 를 따른다. 노란 라벨 = 시트 입력 기호.</t>
        </is>
      </c>
    </row>
    <row r="13">
      <c r="A13" s="2" t="inlineStr"/>
    </row>
    <row r="14">
      <c r="A14" s="3" t="inlineStr">
        <is>
          <t>범위·한계</t>
        </is>
      </c>
    </row>
    <row r="15">
      <c r="A15" s="2" t="inlineStr">
        <is>
          <t xml:space="preserve">  - 단면은 원호+접선(arc_tangent)만. 사인형/사다리꼴/반원 단면은 파이썬 모듈 사용.</t>
        </is>
      </c>
    </row>
    <row r="16">
      <c r="A16" s="2" t="inlineStr">
        <is>
          <t xml:space="preserve">  - 응력은 산(crest)·골(valley) 위치만 복원한다. 6개 단위 하중 모두에서 최대 응력이 산 또는 골에 생기지만, 플랭크 분포는 파이썬 전용.</t>
        </is>
      </c>
    </row>
    <row r="17">
      <c r="A17" s="2" t="inlineStr">
        <is>
          <t xml:space="preserve">  - 판 본체(주기 영역) 전용. apex·테두리·포트 보정계수, t/R_min&gt;0.2 보정, 좌굴·접촉은 범위 밖 (docs/08, 09).</t>
        </is>
      </c>
    </row>
    <row r="18">
      <c r="A18" s="2" t="inlineStr">
        <is>
          <t xml:space="preserve">  - 판축 합력(N, M)은 사용자가 별도 산정(폐형식 또는 등가 판 FE)하여 입력한다.</t>
        </is>
      </c>
    </row>
    <row r="19">
      <c r="A19" s="2" t="inlineStr"/>
    </row>
    <row r="20">
      <c r="A20" s="2" t="inlineStr">
        <is>
          <t>근거 문서: docs/05 (형상 정의), 06 (채택식 = Ye 2014 Eq. 19), 07 (β 회전), 09 (등가 두께·GENS·VAM 복원), 10 (계산 모듈).</t>
        </is>
      </c>
    </row>
    <row r="21">
      <c r="A21" s="2" t="inlineStr">
        <is>
          <t>단위: mm, N, MPa, N/mm (A, N), N·mm/mm (D, M), tonne/mm³ (ρ). 각도 입력은 도(°), 내부 계산은 rad.</t>
        </is>
      </c>
    </row>
    <row r="22">
      <c r="A22" s="2" t="inlineStr">
        <is>
          <t>기호: c=p/2, f=H/2, h=t_calc, λ=l/c, J1=I1/(2c), J2=I2/(2c). 국부축 x ⊥ 능선, y ∥ 능선. N=A·{εx,εy,γxy}, M=D·{κx,κy,2κxy}.</t>
        </is>
      </c>
    </row>
    <row r="23">
      <c r="A23" s="4" t="inlineStr">
        <is>
          <t>생성: calc/make_excel_sheet.py (재생성 시 이 파일을 덮어쓴다 — 수정은 생성기에서).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  <col width="3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</cols>
  <sheetData>
    <row r="1">
      <c r="A1" s="1" t="inlineStr">
        <is>
          <t>입력 (노란 셀만 편집)</t>
        </is>
      </c>
    </row>
    <row r="2">
      <c r="F2" s="5" t="inlineStr">
        <is>
          <t>[그림 1] 단면 입력 — p 피치(능선 수직) · H 깊이(중앙면, dims=mid) · H_o=H+t 외면 높이(dims=outer) · t 두께 · R_c/R_v 산·골 원호 반경(중앙면) · α 플랭크 각(모드 B) · T_L 접선 길이(계산값) · crest 산 / valley 골 · +z face 산 쪽 표면 · 상자: 계산 두께 t_calc = (t_min 또는 t) − CA</t>
        </is>
      </c>
      <c r="T2" s="5" t="inlineStr">
        <is>
          <t>[그림 3] 하중 케이스 — N_x, N_y, N_xy 단위폭 막력 [N/mm], M_x, M_y, M_xy 단위폭 모멘트 [N·mm/mm] · axes=local 이면 그림의 국부축(x ⊥ 능선) 값, plate 이면 판축(x_p, y_p) 값(시트가 zone 에 따라 ∓β 회전) · 부호: 인장 +, M&gt;0 이면 +z 면 압축</t>
        </is>
      </c>
    </row>
    <row r="4">
      <c r="A4" s="6" t="inlineStr">
        <is>
          <t>판 식별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판 식별자</t>
        </is>
      </c>
      <c r="B6" s="9" t="inlineStr">
        <is>
          <t>SPHX-example</t>
        </is>
      </c>
      <c r="C6" s="8" t="inlineStr"/>
      <c r="D6" s="10" t="inlineStr">
        <is>
          <t>도면 번호 등</t>
        </is>
      </c>
    </row>
    <row r="7">
      <c r="A7" s="8" t="inlineStr">
        <is>
          <t>값 출처</t>
        </is>
      </c>
      <c r="B7" s="9" t="inlineStr">
        <is>
          <t>assumed defaults (docs/05 §5)</t>
        </is>
      </c>
      <c r="C7" s="8" t="inlineStr"/>
      <c r="D7" s="10" t="inlineStr">
        <is>
          <t>예시값은 05 §5 가정 기본값 — 실제 도면값으로 교체</t>
        </is>
      </c>
    </row>
    <row r="9">
      <c r="A9" s="6" t="inlineStr">
        <is>
          <t>단면 (docs/05 §2.1, 중앙면 기준)  → 오른쪽 [그림 1] 참조</t>
        </is>
      </c>
      <c r="B9" s="6" t="n"/>
      <c r="C9" s="6" t="n"/>
      <c r="D9" s="6" t="n"/>
    </row>
    <row r="10">
      <c r="A10" s="7" t="inlineStr">
        <is>
          <t>항목</t>
        </is>
      </c>
      <c r="B10" s="7" t="inlineStr">
        <is>
          <t>값</t>
        </is>
      </c>
      <c r="C10" s="7" t="inlineStr">
        <is>
          <t>단위</t>
        </is>
      </c>
      <c r="D10" s="7" t="inlineStr">
        <is>
          <t>비고 / 수식 근거</t>
        </is>
      </c>
    </row>
    <row r="11">
      <c r="A11" s="8" t="inlineStr">
        <is>
          <t>피치 p</t>
        </is>
      </c>
      <c r="B11" s="11" t="n">
        <v>9</v>
      </c>
      <c r="C11" s="8" t="inlineStr">
        <is>
          <t>mm</t>
        </is>
      </c>
      <c r="D11" s="10" t="inlineStr">
        <is>
          <t>능선 수직 산-산 거리 (pitch_reference 에 따라 환산)</t>
        </is>
      </c>
    </row>
    <row r="12">
      <c r="A12" s="8" t="inlineStr">
        <is>
          <t>깊이 H</t>
        </is>
      </c>
      <c r="B12" s="11" t="n">
        <v>3.2</v>
      </c>
      <c r="C12" s="8" t="inlineStr">
        <is>
          <t>mm</t>
        </is>
      </c>
      <c r="D12" s="10" t="inlineStr">
        <is>
          <t>산-골 높이차 (dims_reference 에 따라 환산)</t>
        </is>
      </c>
    </row>
    <row r="13">
      <c r="A13" s="8" t="inlineStr">
        <is>
          <t>공칭 두께 t</t>
        </is>
      </c>
      <c r="B13" s="11" t="n">
        <v>0.6</v>
      </c>
      <c r="C13" s="8" t="inlineStr">
        <is>
          <t>mm</t>
        </is>
      </c>
      <c r="D13" s="10" t="inlineStr"/>
    </row>
    <row r="14">
      <c r="A14" s="8" t="inlineStr">
        <is>
          <t>단면 입력 모드</t>
        </is>
      </c>
      <c r="B14" s="9" t="inlineStr">
        <is>
          <t>A</t>
        </is>
      </c>
      <c r="C14" s="8" t="inlineStr"/>
      <c r="D14" s="10" t="inlineStr">
        <is>
          <t>A: R_c(,R_v) 입력 → α 계산 | B: α 입력 → R_c=R_v 계산</t>
        </is>
      </c>
    </row>
    <row r="15">
      <c r="A15" s="8" t="inlineStr">
        <is>
          <t>산 원호 반경 R_c</t>
        </is>
      </c>
      <c r="B15" s="11" t="n">
        <v>1.5</v>
      </c>
      <c r="C15" s="8" t="inlineStr">
        <is>
          <t>mm</t>
        </is>
      </c>
      <c r="D15" s="10" t="inlineStr">
        <is>
          <t>모드 A. 외면 반경으로 측정했으면 R_o − t/2 로 환산해 기입</t>
        </is>
      </c>
    </row>
    <row r="16">
      <c r="A16" s="8" t="inlineStr">
        <is>
          <t>골 원호 반경 R_v</t>
        </is>
      </c>
      <c r="B16" s="11" t="n"/>
      <c r="C16" s="8" t="inlineStr">
        <is>
          <t>mm</t>
        </is>
      </c>
      <c r="D16" s="10" t="inlineStr">
        <is>
          <t>모드 A. 비우면 R_c 와 같게 처리</t>
        </is>
      </c>
    </row>
    <row r="17">
      <c r="A17" s="8" t="inlineStr">
        <is>
          <t>플랭크 각 α (입력)</t>
        </is>
      </c>
      <c r="B17" s="11" t="n"/>
      <c r="C17" s="8" t="inlineStr">
        <is>
          <t>°</t>
        </is>
      </c>
      <c r="D17" s="10" t="inlineStr">
        <is>
          <t>모드 B 전용</t>
        </is>
      </c>
    </row>
    <row r="18">
      <c r="A18" s="8" t="inlineStr">
        <is>
          <t>치수 기준 dims_reference</t>
        </is>
      </c>
      <c r="B18" s="9" t="inlineStr">
        <is>
          <t>mid</t>
        </is>
      </c>
      <c r="C18" s="8" t="inlineStr"/>
      <c r="D18" s="10" t="inlineStr">
        <is>
          <t>mid: 중앙면 | outer: 외면 (H = H_in − t 로 환산)</t>
        </is>
      </c>
    </row>
    <row r="19">
      <c r="A19" s="8" t="inlineStr">
        <is>
          <t>피치 기준 pitch_reference</t>
        </is>
      </c>
      <c r="B19" s="9" t="inlineStr">
        <is>
          <t>normal</t>
        </is>
      </c>
      <c r="C19" s="8" t="inlineStr"/>
      <c r="D19" s="10" t="inlineStr">
        <is>
          <t>normal: 능선 수직 | axis: x_p 방향 측정 (p = p_in·cosβ)</t>
        </is>
      </c>
    </row>
    <row r="21">
      <c r="A21" s="6" t="inlineStr">
        <is>
          <t>쉐브론 (docs/05 §2.2)  → [그림 2] 참조</t>
        </is>
      </c>
      <c r="B21" s="6" t="n"/>
      <c r="C21" s="6" t="n"/>
      <c r="D21" s="6" t="n"/>
    </row>
    <row r="22">
      <c r="A22" s="7" t="inlineStr">
        <is>
          <t>항목</t>
        </is>
      </c>
      <c r="B22" s="7" t="inlineStr">
        <is>
          <t>값</t>
        </is>
      </c>
      <c r="C22" s="7" t="inlineStr">
        <is>
          <t>단위</t>
        </is>
      </c>
      <c r="D22" s="7" t="inlineStr">
        <is>
          <t>비고 / 수식 근거</t>
        </is>
      </c>
    </row>
    <row r="23">
      <c r="A23" s="8" t="inlineStr">
        <is>
          <t>쉐브론 각 β (입력)</t>
        </is>
      </c>
      <c r="B23" s="11" t="n">
        <v>60</v>
      </c>
      <c r="C23" s="8" t="inlineStr">
        <is>
          <t>°</t>
        </is>
      </c>
      <c r="D23" s="10" t="inlineStr"/>
    </row>
    <row r="24">
      <c r="A24" s="8" t="inlineStr">
        <is>
          <t>β 기준 beta_reference</t>
        </is>
      </c>
      <c r="B24" s="9" t="inlineStr">
        <is>
          <t>flow</t>
        </is>
      </c>
      <c r="C24" s="8" t="inlineStr"/>
      <c r="D24" s="10" t="inlineStr">
        <is>
          <t>flow: 유동축 기준 | horizontal: 수평 기준 (β = 90 − 입력)</t>
        </is>
      </c>
    </row>
    <row r="26">
      <c r="A26" s="6" t="inlineStr">
        <is>
          <t>재료 (docs/05 §2.5)  → [그림 1] 두께 상자 참조</t>
        </is>
      </c>
      <c r="B26" s="6" t="n"/>
      <c r="C26" s="6" t="n"/>
      <c r="D26" s="6" t="n"/>
    </row>
    <row r="27">
      <c r="A27" s="7" t="inlineStr">
        <is>
          <t>항목</t>
        </is>
      </c>
      <c r="B27" s="7" t="inlineStr">
        <is>
          <t>값</t>
        </is>
      </c>
      <c r="C27" s="7" t="inlineStr">
        <is>
          <t>단위</t>
        </is>
      </c>
      <c r="D27" s="7" t="inlineStr">
        <is>
          <t>비고 / 수식 근거</t>
        </is>
      </c>
    </row>
    <row r="28">
      <c r="A28" s="8" t="inlineStr">
        <is>
          <t>재질</t>
        </is>
      </c>
      <c r="B28" s="9" t="inlineStr">
        <is>
          <t>SA-240 316L</t>
        </is>
      </c>
      <c r="C28" s="8" t="inlineStr"/>
      <c r="D28" s="10" t="inlineStr"/>
    </row>
    <row r="29">
      <c r="A29" s="8" t="inlineStr">
        <is>
          <t>탄성계수 E</t>
        </is>
      </c>
      <c r="B29" s="12" t="n">
        <v>193000</v>
      </c>
      <c r="C29" s="8" t="inlineStr">
        <is>
          <t>MPa</t>
        </is>
      </c>
      <c r="D29" s="10" t="inlineStr">
        <is>
          <t>설계온도 값 사용</t>
        </is>
      </c>
      <c r="F29" s="5" t="inlineStr">
        <is>
          <t>[그림 2] 쉐브론·판축 — β 능선–유동축(y_p) 각(beta_reference=flow) · 90°−β 수평 기준 각(horizontal) · zone right(θ=−β)/left(θ=+β) apex 좌우 영역 · p 능선 수직 피치(pitch_reference=normal) · p_axis=p/cosβ x_p 방향 측정 피치(axis) · x ⊥ 능선, y ∥ 능선 국부축</t>
        </is>
      </c>
      <c r="T29" s="5" t="inlineStr">
        <is>
          <t>[그림 4] 응력 출력 위치(Stress 시트) — 산(crest)·골(valley) × +z 면/−z 면 4점 · Stress 시트 B~E 열 순서와 동일 · N_x&gt;0 이면 산 −z 면·골 +z 면에 K_t = 1+6f/t 집중</t>
        </is>
      </c>
    </row>
    <row r="30">
      <c r="A30" s="8" t="inlineStr">
        <is>
          <t>포아송비 ν</t>
        </is>
      </c>
      <c r="B30" s="11" t="n">
        <v>0.3</v>
      </c>
      <c r="C30" s="8" t="inlineStr"/>
      <c r="D30" s="10" t="inlineStr"/>
    </row>
    <row r="31">
      <c r="A31" s="8" t="inlineStr">
        <is>
          <t>밀도 ρ</t>
        </is>
      </c>
      <c r="B31" s="13" t="n">
        <v>7.9e-09</v>
      </c>
      <c r="C31" s="8" t="inlineStr">
        <is>
          <t>tonne/mm³</t>
        </is>
      </c>
      <c r="D31" s="10" t="inlineStr">
        <is>
          <t>SSPM 입력용</t>
        </is>
      </c>
    </row>
    <row r="32">
      <c r="A32" s="8" t="inlineStr">
        <is>
          <t>성형 후 최소 두께 t_min</t>
        </is>
      </c>
      <c r="B32" s="11" t="n"/>
      <c r="C32" s="8" t="inlineStr">
        <is>
          <t>mm</t>
        </is>
      </c>
      <c r="D32" s="10" t="inlineStr">
        <is>
          <t>비우면 공칭 t 사용 (경고 표시)</t>
        </is>
      </c>
    </row>
    <row r="33">
      <c r="A33" s="8" t="inlineStr">
        <is>
          <t>부식 여유 CA</t>
        </is>
      </c>
      <c r="B33" s="11" t="n">
        <v>0</v>
      </c>
      <c r="C33" s="8" t="inlineStr">
        <is>
          <t>mm</t>
        </is>
      </c>
      <c r="D33" s="10" t="inlineStr"/>
    </row>
    <row r="34">
      <c r="A34" s="8" t="inlineStr">
        <is>
          <t>허용응력 S_allow</t>
        </is>
      </c>
      <c r="B34" s="12" t="n"/>
      <c r="C34" s="8" t="inlineStr">
        <is>
          <t>MPa</t>
        </is>
      </c>
      <c r="D34" s="10" t="inlineStr">
        <is>
          <t>설계코드·온도 기준. 비우면 판정 생략</t>
        </is>
      </c>
    </row>
    <row r="36">
      <c r="A36" s="6" t="inlineStr">
        <is>
          <t>압력차 (docs/12, C-4) — 접촉점 격자 위의 판  → [그림 4] 면 정의 참조</t>
        </is>
      </c>
      <c r="B36" s="6" t="n"/>
      <c r="C36" s="6" t="n"/>
      <c r="D36" s="6" t="n"/>
    </row>
    <row r="37">
      <c r="A37" s="7" t="inlineStr">
        <is>
          <t>항목</t>
        </is>
      </c>
      <c r="B37" s="7" t="inlineStr">
        <is>
          <t>값</t>
        </is>
      </c>
      <c r="C37" s="7" t="inlineStr">
        <is>
          <t>단위</t>
        </is>
      </c>
      <c r="D37" s="7" t="inlineStr">
        <is>
          <t>비고 / 수식 근거</t>
        </is>
      </c>
    </row>
    <row r="38">
      <c r="A38" s="8" t="inlineStr">
        <is>
          <t>설계 압력차 ΔP</t>
        </is>
      </c>
      <c r="B38" s="11" t="n">
        <v>1</v>
      </c>
      <c r="C38" s="8" t="inlineStr">
        <is>
          <t>MPa</t>
        </is>
      </c>
      <c r="D38" s="10" t="inlineStr">
        <is>
          <t>판 양면 압력차. 비우면 Pressure 시트 생략  ※ 예시값(가정)</t>
        </is>
      </c>
    </row>
    <row r="39">
      <c r="A39" s="8" t="inlineStr">
        <is>
          <t>고압면 high_pressure_face</t>
        </is>
      </c>
      <c r="B39" s="9" t="inlineStr">
        <is>
          <t>crest</t>
        </is>
      </c>
      <c r="C39" s="8" t="inlineStr"/>
      <c r="D39" s="10" t="inlineStr">
        <is>
          <t>crest: 산(+z) 쪽이 고압 → 지지선 = 골 | valley: 골(−z) 쪽이 고압 → 지지선 = 산</t>
        </is>
      </c>
    </row>
    <row r="40">
      <c r="A40" s="8" t="inlineStr">
        <is>
          <t>면내 구속 inplane_restraint</t>
        </is>
      </c>
      <c r="B40" s="9" t="inlineStr">
        <is>
          <t>free</t>
        </is>
      </c>
      <c r="C40" s="8" t="inlineStr"/>
      <c r="D40" s="10" t="inlineStr">
        <is>
          <t>free: 판 가로 방향 자유(거시 N_x=0, 설계값) | fixed: 가로 변위 0(아치 작용, 하한)</t>
        </is>
      </c>
    </row>
    <row r="42">
      <c r="A42" s="6" t="inlineStr">
        <is>
          <t>하중 케이스 (docs/10 §2.2) — 합력은 별도 산정값  → [그림 3] 하중, [그림 4] 응력 출력 위치 참조</t>
        </is>
      </c>
      <c r="B42" s="6" t="n"/>
      <c r="C42" s="6" t="n"/>
      <c r="D42" s="6" t="n"/>
    </row>
    <row r="43">
      <c r="A43" s="7" t="inlineStr">
        <is>
          <t>항목</t>
        </is>
      </c>
      <c r="B43" s="7" t="inlineStr">
        <is>
          <t>값</t>
        </is>
      </c>
      <c r="C43" s="7" t="inlineStr">
        <is>
          <t>단위</t>
        </is>
      </c>
      <c r="D43" s="7" t="inlineStr">
        <is>
          <t>비고 / 수식 근거</t>
        </is>
      </c>
    </row>
    <row r="44">
      <c r="A44" s="8" t="inlineStr">
        <is>
          <t>케이스 이름</t>
        </is>
      </c>
      <c r="B44" s="9" t="inlineStr">
        <is>
          <t>plate-axis My (right zone)</t>
        </is>
      </c>
      <c r="C44" s="8" t="inlineStr"/>
      <c r="D44" s="10" t="inlineStr"/>
    </row>
    <row r="45">
      <c r="A45" s="8" t="inlineStr">
        <is>
          <t>합력 좌표축 axes</t>
        </is>
      </c>
      <c r="B45" s="9" t="inlineStr">
        <is>
          <t>plate</t>
        </is>
      </c>
      <c r="C45" s="8" t="inlineStr"/>
      <c r="D45" s="10" t="inlineStr">
        <is>
          <t>plate: 판축 (x_p, y_p) | local: 국부축 (x ⊥ 능선)</t>
        </is>
      </c>
    </row>
    <row r="46">
      <c r="A46" s="8" t="inlineStr">
        <is>
          <t>영역 zone</t>
        </is>
      </c>
      <c r="B46" s="9" t="inlineStr">
        <is>
          <t>right</t>
        </is>
      </c>
      <c r="C46" s="8" t="inlineStr"/>
      <c r="D46" s="10" t="inlineStr">
        <is>
          <t>right: θ = −β | left: θ = +β (plate 축일 때만 사용)</t>
        </is>
      </c>
    </row>
    <row r="47">
      <c r="A47" s="8" t="inlineStr">
        <is>
          <t>N_x (또는 N_xp)</t>
        </is>
      </c>
      <c r="B47" s="11" t="n">
        <v>0</v>
      </c>
      <c r="C47" s="8" t="inlineStr">
        <is>
          <t>N/mm</t>
        </is>
      </c>
      <c r="D47" s="10" t="inlineStr"/>
    </row>
    <row r="48">
      <c r="A48" s="8" t="inlineStr">
        <is>
          <t>N_y (또는 N_yp)</t>
        </is>
      </c>
      <c r="B48" s="11" t="n">
        <v>0</v>
      </c>
      <c r="C48" s="8" t="inlineStr">
        <is>
          <t>N/mm</t>
        </is>
      </c>
      <c r="D48" s="10" t="inlineStr"/>
    </row>
    <row r="49">
      <c r="A49" s="8" t="inlineStr">
        <is>
          <t>N_xy</t>
        </is>
      </c>
      <c r="B49" s="11" t="n">
        <v>0</v>
      </c>
      <c r="C49" s="8" t="inlineStr">
        <is>
          <t>N/mm</t>
        </is>
      </c>
      <c r="D49" s="10" t="inlineStr"/>
    </row>
    <row r="50">
      <c r="A50" s="8" t="inlineStr">
        <is>
          <t>M_x (또는 M_xp)</t>
        </is>
      </c>
      <c r="B50" s="11" t="n">
        <v>0</v>
      </c>
      <c r="C50" s="8" t="inlineStr">
        <is>
          <t>N·mm/mm</t>
        </is>
      </c>
      <c r="D50" s="10" t="inlineStr"/>
    </row>
    <row r="51">
      <c r="A51" s="8" t="inlineStr">
        <is>
          <t>M_y (또는 M_yp)</t>
        </is>
      </c>
      <c r="B51" s="11" t="n">
        <v>100</v>
      </c>
      <c r="C51" s="8" t="inlineStr">
        <is>
          <t>N·mm/mm</t>
        </is>
      </c>
      <c r="D51" s="10" t="inlineStr"/>
    </row>
    <row r="52">
      <c r="A52" s="8" t="inlineStr">
        <is>
          <t>M_xy</t>
        </is>
      </c>
      <c r="B52" s="11" t="n">
        <v>0</v>
      </c>
      <c r="C52" s="8" t="inlineStr">
        <is>
          <t>N·mm/mm</t>
        </is>
      </c>
      <c r="D52" s="10" t="inlineStr">
        <is>
          <t>공학 비틀림 κ_xy 에 대응 (M_xy = D66·2κ_xy)</t>
        </is>
      </c>
    </row>
    <row r="53">
      <c r="A53" s="8" t="inlineStr">
        <is>
          <t>케이스 허용응력</t>
        </is>
      </c>
      <c r="B53" s="12" t="n"/>
      <c r="C53" s="8" t="inlineStr">
        <is>
          <t>MPa</t>
        </is>
      </c>
      <c r="D53" s="10" t="inlineStr">
        <is>
          <t>비우면 S_allow 사용</t>
        </is>
      </c>
    </row>
  </sheetData>
  <dataValidations count="8">
    <dataValidation sqref="B14" showDropDown="0" showInputMessage="0" showErrorMessage="0" allowBlank="0" type="list">
      <formula1>"A,B"</formula1>
    </dataValidation>
    <dataValidation sqref="B18" showDropDown="0" showInputMessage="0" showErrorMessage="0" allowBlank="0" type="list">
      <formula1>"mid,outer"</formula1>
    </dataValidation>
    <dataValidation sqref="B19" showDropDown="0" showInputMessage="0" showErrorMessage="0" allowBlank="0" type="list">
      <formula1>"normal,axis"</formula1>
    </dataValidation>
    <dataValidation sqref="B24" showDropDown="0" showInputMessage="0" showErrorMessage="0" allowBlank="0" type="list">
      <formula1>"flow,horizontal"</formula1>
    </dataValidation>
    <dataValidation sqref="B45" showDropDown="0" showInputMessage="0" showErrorMessage="0" allowBlank="0" type="list">
      <formula1>"plate,local"</formula1>
    </dataValidation>
    <dataValidation sqref="B46" showDropDown="0" showInputMessage="0" showErrorMessage="0" allowBlank="0" type="list">
      <formula1>"right,left"</formula1>
    </dataValidation>
    <dataValidation sqref="B39" showDropDown="0" showInputMessage="0" showErrorMessage="0" allowBlank="0" type="list">
      <formula1>"crest,valley"</formula1>
    </dataValidation>
    <dataValidation sqref="B40" showDropDown="0" showInputMessage="0" showErrorMessage="0" allowBlank="0" type="list">
      <formula1>"free,fixed"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</cols>
  <sheetData>
    <row r="1">
      <c r="A1" s="1" t="inlineStr">
        <is>
          <t>형상 전처리·파생량 (docs/05 §3, 원호+접선 폐형식)</t>
        </is>
      </c>
    </row>
    <row r="4">
      <c r="A4" s="6" t="inlineStr">
        <is>
          <t>전처리 (표기 기준 → 계산 기준, docs/10 §2.1)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β (유동축 기준)</t>
        </is>
      </c>
      <c r="B6" s="8">
        <f>IF(in_betaref="horizontal",90-in_beta,in_beta)</f>
        <v/>
      </c>
      <c r="C6" s="8" t="inlineStr">
        <is>
          <t>°</t>
        </is>
      </c>
      <c r="D6" s="10" t="inlineStr">
        <is>
          <t>beta_reference=horizontal → 90 − 입력</t>
        </is>
      </c>
    </row>
    <row r="7">
      <c r="A7" s="8" t="inlineStr">
        <is>
          <t>β [rad]</t>
        </is>
      </c>
      <c r="B7" s="8">
        <f>RADIANS(beta_deg)</f>
        <v/>
      </c>
      <c r="C7" s="8" t="inlineStr">
        <is>
          <t>rad</t>
        </is>
      </c>
      <c r="D7" s="10" t="inlineStr"/>
    </row>
    <row r="8">
      <c r="A8" s="8" t="inlineStr">
        <is>
          <t>피치 p (능선 수직)</t>
        </is>
      </c>
      <c r="B8" s="8">
        <f>IF(in_pitchref="axis",in_p*COS(beta),in_p)</f>
        <v/>
      </c>
      <c r="C8" s="8" t="inlineStr">
        <is>
          <t>mm</t>
        </is>
      </c>
      <c r="D8" s="10" t="inlineStr">
        <is>
          <t>pitch_reference=axis → p_in·cosβ</t>
        </is>
      </c>
    </row>
    <row r="9">
      <c r="A9" s="8" t="inlineStr">
        <is>
          <t>깊이 H (중앙면)</t>
        </is>
      </c>
      <c r="B9" s="8">
        <f>IF(in_dims="outer",in_H-in_t,in_H)</f>
        <v/>
      </c>
      <c r="C9" s="8" t="inlineStr">
        <is>
          <t>mm</t>
        </is>
      </c>
      <c r="D9" s="10" t="inlineStr">
        <is>
          <t>dims_reference=outer → H_in − t</t>
        </is>
      </c>
    </row>
    <row r="10">
      <c r="A10" s="8" t="inlineStr">
        <is>
          <t>계산 두께 h = t_calc</t>
        </is>
      </c>
      <c r="B10" s="8">
        <f>IF(ISBLANK(in_tmin),in_t,in_tmin)-in_CA</f>
        <v/>
      </c>
      <c r="C10" s="8" t="inlineStr">
        <is>
          <t>mm</t>
        </is>
      </c>
      <c r="D10" s="10" t="inlineStr">
        <is>
          <t>t_min(없으면 t) − CA. 강성·응력 모두 이 값 사용</t>
        </is>
      </c>
    </row>
    <row r="11">
      <c r="A11" s="8" t="inlineStr">
        <is>
          <t>반피치 c = p/2</t>
        </is>
      </c>
      <c r="B11" s="8">
        <f>p_/2</f>
        <v/>
      </c>
      <c r="C11" s="8" t="inlineStr">
        <is>
          <t>mm</t>
        </is>
      </c>
      <c r="D11" s="10" t="inlineStr"/>
    </row>
    <row r="12">
      <c r="A12" s="8" t="inlineStr">
        <is>
          <t>반깊이 f = H/2</t>
        </is>
      </c>
      <c r="B12" s="8">
        <f>H_mid/2</f>
        <v/>
      </c>
      <c r="C12" s="8" t="inlineStr">
        <is>
          <t>mm</t>
        </is>
      </c>
      <c r="D12" s="10" t="inlineStr"/>
    </row>
    <row r="14">
      <c r="A14" s="6" t="inlineStr">
        <is>
          <t>원호+접선 단면 해 (모드 A: Newton 반복 / 모드 B: 선형)</t>
        </is>
      </c>
      <c r="B14" s="6" t="n"/>
      <c r="C14" s="6" t="n"/>
      <c r="D14" s="6" t="n"/>
    </row>
    <row r="15">
      <c r="A15" s="7" t="inlineStr">
        <is>
          <t>항목</t>
        </is>
      </c>
      <c r="B15" s="7" t="inlineStr">
        <is>
          <t>값</t>
        </is>
      </c>
      <c r="C15" s="7" t="inlineStr">
        <is>
          <t>단위</t>
        </is>
      </c>
      <c r="D15" s="7" t="inlineStr">
        <is>
          <t>비고 / 수식 근거</t>
        </is>
      </c>
    </row>
    <row r="16">
      <c r="A16" s="8" t="inlineStr">
        <is>
          <t>R_c (모드 A)</t>
        </is>
      </c>
      <c r="B16" s="14">
        <f>in_Rc</f>
        <v/>
      </c>
      <c r="C16" s="8" t="inlineStr">
        <is>
          <t>mm</t>
        </is>
      </c>
      <c r="D16" s="10" t="inlineStr"/>
    </row>
    <row r="17">
      <c r="A17" s="8" t="inlineStr">
        <is>
          <t>R_v (모드 A)</t>
        </is>
      </c>
      <c r="B17" s="8">
        <f>IF(ISBLANK(in_Rv),in_Rc,in_Rv)</f>
        <v/>
      </c>
      <c r="C17" s="8" t="inlineStr">
        <is>
          <t>mm</t>
        </is>
      </c>
      <c r="D17" s="10" t="inlineStr">
        <is>
          <t>비우면 R_c</t>
        </is>
      </c>
    </row>
    <row r="18">
      <c r="A18" s="8" t="inlineStr">
        <is>
          <t>R_s = R_c + R_v</t>
        </is>
      </c>
      <c r="B18" s="8">
        <f>Rc_in+Rv_in</f>
        <v/>
      </c>
      <c r="C18" s="8" t="inlineStr">
        <is>
          <t>mm</t>
        </is>
      </c>
      <c r="D18" s="10" t="inlineStr"/>
    </row>
    <row r="19">
      <c r="A19" s="8" t="inlineStr">
        <is>
          <t>α 상한 (T_L ≥ 0)</t>
        </is>
      </c>
      <c r="B19" s="8">
        <f>MIN(ASIN(MIN(1,c_/Rs)),ACOS(MAX(-1,1-H_mid/Rs)),PI()/2)-0.000001</f>
        <v/>
      </c>
      <c r="C19" s="8" t="inlineStr">
        <is>
          <t>rad</t>
        </is>
      </c>
      <c r="D19" s="10" t="inlineStr">
        <is>
          <t>수평식·수직식에서 T_L ≥ 0 이 되는 α 범위의 상한</t>
        </is>
      </c>
    </row>
    <row r="20">
      <c r="A20" s="4" t="inlineStr">
        <is>
          <t>Newton 반복: F(α) = R_s(1−cosα) + (c − R_s sinα)·tanα − H = 0,  F'(α) = (c − R_s sinα)/cos²α.  각 반복값은 (0.001, a_hi) 로 제한.</t>
        </is>
      </c>
    </row>
    <row r="21">
      <c r="A21" s="7" t="inlineStr">
        <is>
          <t>반복 n</t>
        </is>
      </c>
      <c r="B21" s="7" t="inlineStr">
        <is>
          <t>α_n [rad]</t>
        </is>
      </c>
      <c r="C21" s="7" t="inlineStr">
        <is>
          <t>F(α_n)</t>
        </is>
      </c>
      <c r="D21" s="7" t="inlineStr">
        <is>
          <t>F'(α_n)</t>
        </is>
      </c>
    </row>
    <row r="22">
      <c r="A22" s="8" t="n">
        <v>0</v>
      </c>
      <c r="B22" s="15">
        <f>MIN(a_hi,MAX(0.001,ATAN(H_mid/MAX(c_-Rs*0.5,0.001))))</f>
        <v/>
      </c>
      <c r="C22" s="16">
        <f>Rs*(1-COS($B$22))+(c_-Rs*SIN($B$22))*TAN($B$22)-H_mid</f>
        <v/>
      </c>
      <c r="D22" s="15">
        <f>(c_-Rs*SIN($B$22))/COS($B$22)^2</f>
        <v/>
      </c>
    </row>
    <row r="23">
      <c r="A23" s="8" t="n">
        <v>1</v>
      </c>
      <c r="B23" s="15">
        <f>MIN(a_hi,MAX(0.001,$B$22-$C$22/$D$22))</f>
        <v/>
      </c>
      <c r="C23" s="16">
        <f>Rs*(1-COS($B$23))+(c_-Rs*SIN($B$23))*TAN($B$23)-H_mid</f>
        <v/>
      </c>
      <c r="D23" s="15">
        <f>(c_-Rs*SIN($B$23))/COS($B$23)^2</f>
        <v/>
      </c>
    </row>
    <row r="24">
      <c r="A24" s="8" t="n">
        <v>2</v>
      </c>
      <c r="B24" s="15">
        <f>MIN(a_hi,MAX(0.001,$B$23-$C$23/$D$23))</f>
        <v/>
      </c>
      <c r="C24" s="16">
        <f>Rs*(1-COS($B$24))+(c_-Rs*SIN($B$24))*TAN($B$24)-H_mid</f>
        <v/>
      </c>
      <c r="D24" s="15">
        <f>(c_-Rs*SIN($B$24))/COS($B$24)^2</f>
        <v/>
      </c>
    </row>
    <row r="25">
      <c r="A25" s="8" t="n">
        <v>3</v>
      </c>
      <c r="B25" s="15">
        <f>MIN(a_hi,MAX(0.001,$B$24-$C$24/$D$24))</f>
        <v/>
      </c>
      <c r="C25" s="16">
        <f>Rs*(1-COS($B$25))+(c_-Rs*SIN($B$25))*TAN($B$25)-H_mid</f>
        <v/>
      </c>
      <c r="D25" s="15">
        <f>(c_-Rs*SIN($B$25))/COS($B$25)^2</f>
        <v/>
      </c>
    </row>
    <row r="26">
      <c r="A26" s="8" t="n">
        <v>4</v>
      </c>
      <c r="B26" s="15">
        <f>MIN(a_hi,MAX(0.001,$B$25-$C$25/$D$25))</f>
        <v/>
      </c>
      <c r="C26" s="16">
        <f>Rs*(1-COS($B$26))+(c_-Rs*SIN($B$26))*TAN($B$26)-H_mid</f>
        <v/>
      </c>
      <c r="D26" s="15">
        <f>(c_-Rs*SIN($B$26))/COS($B$26)^2</f>
        <v/>
      </c>
    </row>
    <row r="27">
      <c r="A27" s="8" t="n">
        <v>5</v>
      </c>
      <c r="B27" s="15">
        <f>MIN(a_hi,MAX(0.001,$B$26-$C$26/$D$26))</f>
        <v/>
      </c>
      <c r="C27" s="16">
        <f>Rs*(1-COS($B$27))+(c_-Rs*SIN($B$27))*TAN($B$27)-H_mid</f>
        <v/>
      </c>
      <c r="D27" s="15">
        <f>(c_-Rs*SIN($B$27))/COS($B$27)^2</f>
        <v/>
      </c>
    </row>
    <row r="28">
      <c r="A28" s="8" t="n">
        <v>6</v>
      </c>
      <c r="B28" s="15">
        <f>MIN(a_hi,MAX(0.001,$B$27-$C$27/$D$27))</f>
        <v/>
      </c>
      <c r="C28" s="16">
        <f>Rs*(1-COS($B$28))+(c_-Rs*SIN($B$28))*TAN($B$28)-H_mid</f>
        <v/>
      </c>
      <c r="D28" s="15">
        <f>(c_-Rs*SIN($B$28))/COS($B$28)^2</f>
        <v/>
      </c>
    </row>
    <row r="29">
      <c r="A29" s="8" t="n">
        <v>7</v>
      </c>
      <c r="B29" s="15">
        <f>MIN(a_hi,MAX(0.001,$B$28-$C$28/$D$28))</f>
        <v/>
      </c>
      <c r="C29" s="16">
        <f>Rs*(1-COS($B$29))+(c_-Rs*SIN($B$29))*TAN($B$29)-H_mid</f>
        <v/>
      </c>
      <c r="D29" s="15">
        <f>(c_-Rs*SIN($B$29))/COS($B$29)^2</f>
        <v/>
      </c>
    </row>
    <row r="30">
      <c r="A30" s="8" t="n">
        <v>8</v>
      </c>
      <c r="B30" s="15">
        <f>MIN(a_hi,MAX(0.001,$B$29-$C$29/$D$29))</f>
        <v/>
      </c>
      <c r="C30" s="16">
        <f>Rs*(1-COS($B$30))+(c_-Rs*SIN($B$30))*TAN($B$30)-H_mid</f>
        <v/>
      </c>
      <c r="D30" s="15">
        <f>(c_-Rs*SIN($B$30))/COS($B$30)^2</f>
        <v/>
      </c>
    </row>
    <row r="31">
      <c r="A31" s="8" t="n">
        <v>9</v>
      </c>
      <c r="B31" s="15">
        <f>MIN(a_hi,MAX(0.001,$B$30-$C$30/$D$30))</f>
        <v/>
      </c>
      <c r="C31" s="16">
        <f>Rs*(1-COS($B$31))+(c_-Rs*SIN($B$31))*TAN($B$31)-H_mid</f>
        <v/>
      </c>
      <c r="D31" s="15">
        <f>(c_-Rs*SIN($B$31))/COS($B$31)^2</f>
        <v/>
      </c>
    </row>
    <row r="32">
      <c r="A32" s="8" t="n">
        <v>10</v>
      </c>
      <c r="B32" s="15">
        <f>MIN(a_hi,MAX(0.001,$B$31-$C$31/$D$31))</f>
        <v/>
      </c>
      <c r="C32" s="16">
        <f>Rs*(1-COS($B$32))+(c_-Rs*SIN($B$32))*TAN($B$32)-H_mid</f>
        <v/>
      </c>
      <c r="D32" s="15">
        <f>(c_-Rs*SIN($B$32))/COS($B$32)^2</f>
        <v/>
      </c>
    </row>
    <row r="33">
      <c r="A33" s="8" t="n">
        <v>11</v>
      </c>
      <c r="B33" s="15">
        <f>MIN(a_hi,MAX(0.001,$B$32-$C$32/$D$32))</f>
        <v/>
      </c>
      <c r="C33" s="16">
        <f>Rs*(1-COS($B$33))+(c_-Rs*SIN($B$33))*TAN($B$33)-H_mid</f>
        <v/>
      </c>
      <c r="D33" s="15">
        <f>(c_-Rs*SIN($B$33))/COS($B$33)^2</f>
        <v/>
      </c>
    </row>
    <row r="34">
      <c r="A34" s="8" t="n">
        <v>12</v>
      </c>
      <c r="B34" s="15">
        <f>MIN(a_hi,MAX(0.001,$B$33-$C$33/$D$33))</f>
        <v/>
      </c>
      <c r="C34" s="16">
        <f>Rs*(1-COS($B$34))+(c_-Rs*SIN($B$34))*TAN($B$34)-H_mid</f>
        <v/>
      </c>
      <c r="D34" s="15">
        <f>(c_-Rs*SIN($B$34))/COS($B$34)^2</f>
        <v/>
      </c>
    </row>
    <row r="35">
      <c r="A35" s="8" t="n">
        <v>13</v>
      </c>
      <c r="B35" s="15">
        <f>MIN(a_hi,MAX(0.001,$B$34-$C$34/$D$34))</f>
        <v/>
      </c>
      <c r="C35" s="16">
        <f>Rs*(1-COS($B$35))+(c_-Rs*SIN($B$35))*TAN($B$35)-H_mid</f>
        <v/>
      </c>
      <c r="D35" s="15">
        <f>(c_-Rs*SIN($B$35))/COS($B$35)^2</f>
        <v/>
      </c>
    </row>
    <row r="36">
      <c r="A36" s="8" t="n">
        <v>14</v>
      </c>
      <c r="B36" s="15">
        <f>MIN(a_hi,MAX(0.001,$B$35-$C$35/$D$35))</f>
        <v/>
      </c>
      <c r="C36" s="16">
        <f>Rs*(1-COS($B$36))+(c_-Rs*SIN($B$36))*TAN($B$36)-H_mid</f>
        <v/>
      </c>
      <c r="D36" s="15">
        <f>(c_-Rs*SIN($B$36))/COS($B$36)^2</f>
        <v/>
      </c>
    </row>
    <row r="37">
      <c r="A37" s="8" t="n">
        <v>15</v>
      </c>
      <c r="B37" s="15">
        <f>MIN(a_hi,MAX(0.001,$B$36-$C$36/$D$36))</f>
        <v/>
      </c>
      <c r="C37" s="16">
        <f>Rs*(1-COS($B$37))+(c_-Rs*SIN($B$37))*TAN($B$37)-H_mid</f>
        <v/>
      </c>
      <c r="D37" s="15">
        <f>(c_-Rs*SIN($B$37))/COS($B$37)^2</f>
        <v/>
      </c>
    </row>
    <row r="38">
      <c r="A38" s="8" t="n">
        <v>16</v>
      </c>
      <c r="B38" s="15">
        <f>MIN(a_hi,MAX(0.001,$B$37-$C$37/$D$37))</f>
        <v/>
      </c>
      <c r="C38" s="16">
        <f>Rs*(1-COS($B$38))+(c_-Rs*SIN($B$38))*TAN($B$38)-H_mid</f>
        <v/>
      </c>
      <c r="D38" s="15">
        <f>(c_-Rs*SIN($B$38))/COS($B$38)^2</f>
        <v/>
      </c>
    </row>
    <row r="39">
      <c r="A39" s="8" t="n">
        <v>17</v>
      </c>
      <c r="B39" s="15">
        <f>MIN(a_hi,MAX(0.001,$B$38-$C$38/$D$38))</f>
        <v/>
      </c>
      <c r="C39" s="16">
        <f>Rs*(1-COS($B$39))+(c_-Rs*SIN($B$39))*TAN($B$39)-H_mid</f>
        <v/>
      </c>
      <c r="D39" s="15">
        <f>(c_-Rs*SIN($B$39))/COS($B$39)^2</f>
        <v/>
      </c>
    </row>
    <row r="40">
      <c r="A40" s="8" t="n">
        <v>18</v>
      </c>
      <c r="B40" s="15">
        <f>MIN(a_hi,MAX(0.001,$B$39-$C$39/$D$39))</f>
        <v/>
      </c>
      <c r="C40" s="16">
        <f>Rs*(1-COS($B$40))+(c_-Rs*SIN($B$40))*TAN($B$40)-H_mid</f>
        <v/>
      </c>
      <c r="D40" s="15">
        <f>(c_-Rs*SIN($B$40))/COS($B$40)^2</f>
        <v/>
      </c>
    </row>
    <row r="41">
      <c r="A41" s="8" t="n">
        <v>19</v>
      </c>
      <c r="B41" s="15">
        <f>MIN(a_hi,MAX(0.001,$B$40-$C$40/$D$40))</f>
        <v/>
      </c>
      <c r="C41" s="16">
        <f>Rs*(1-COS($B$41))+(c_-Rs*SIN($B$41))*TAN($B$41)-H_mid</f>
        <v/>
      </c>
      <c r="D41" s="15">
        <f>(c_-Rs*SIN($B$41))/COS($B$41)^2</f>
        <v/>
      </c>
    </row>
    <row r="42">
      <c r="A42" s="8" t="n">
        <v>20</v>
      </c>
      <c r="B42" s="15">
        <f>MIN(a_hi,MAX(0.001,$B$41-$C$41/$D$41))</f>
        <v/>
      </c>
      <c r="C42" s="16">
        <f>Rs*(1-COS($B$42))+(c_-Rs*SIN($B$42))*TAN($B$42)-H_mid</f>
        <v/>
      </c>
      <c r="D42" s="15">
        <f>(c_-Rs*SIN($B$42))/COS($B$42)^2</f>
        <v/>
      </c>
    </row>
    <row r="44">
      <c r="A44" s="8" t="inlineStr">
        <is>
          <t>α (모드 A 해)</t>
        </is>
      </c>
      <c r="B44" s="8">
        <f>$B$42</f>
        <v/>
      </c>
      <c r="C44" s="8" t="inlineStr">
        <is>
          <t>rad</t>
        </is>
      </c>
      <c r="D44" s="10" t="inlineStr">
        <is>
          <t>Newton 20회 최종값</t>
        </is>
      </c>
    </row>
    <row r="45">
      <c r="A45" s="8" t="inlineStr">
        <is>
          <t>잔차 |F(α)| (모드 A)</t>
        </is>
      </c>
      <c r="B45" s="8">
        <f>ABS($C$42)</f>
        <v/>
      </c>
      <c r="C45" s="8" t="inlineStr">
        <is>
          <t>mm</t>
        </is>
      </c>
      <c r="D45" s="10" t="inlineStr">
        <is>
          <t>1e-9 이하이면 수렴. 크면 R_c 가 너무 커서 접선 구간이 없음</t>
        </is>
      </c>
    </row>
    <row r="46">
      <c r="A46" s="8" t="inlineStr">
        <is>
          <t>α (모드 B 입력)</t>
        </is>
      </c>
      <c r="B46" s="8">
        <f>IF(ISBLANK(in_alpha),0,RADIANS(in_alpha))</f>
        <v/>
      </c>
      <c r="C46" s="8" t="inlineStr">
        <is>
          <t>rad</t>
        </is>
      </c>
      <c r="D46" s="10" t="inlineStr"/>
    </row>
    <row r="47">
      <c r="A47" s="8" t="inlineStr">
        <is>
          <t>R (모드 B: R_c = R_v)</t>
        </is>
      </c>
      <c r="B47" s="8">
        <f>IF(alpha_B&gt;0,(c_*SIN(alpha_B)-H_mid*COS(alpha_B))/(2*(1-COS(alpha_B))),0)</f>
        <v/>
      </c>
      <c r="C47" s="8" t="inlineStr">
        <is>
          <t>mm</t>
        </is>
      </c>
      <c r="D47" s="10" t="inlineStr">
        <is>
          <t>2R sinα + T cosα = c,  2R(1−cosα) + T sinα = H  →  det = 2(1−cosα)</t>
        </is>
      </c>
    </row>
    <row r="48">
      <c r="A48" s="8" t="inlineStr">
        <is>
          <t>α (채택)</t>
        </is>
      </c>
      <c r="B48" s="8">
        <f>IF(in_mode="B",alpha_B,alpha_A)</f>
        <v/>
      </c>
      <c r="C48" s="8" t="inlineStr">
        <is>
          <t>rad</t>
        </is>
      </c>
      <c r="D48" s="10" t="inlineStr"/>
    </row>
    <row r="49">
      <c r="A49" s="8" t="inlineStr">
        <is>
          <t>α [°]</t>
        </is>
      </c>
      <c r="B49" s="8">
        <f>DEGREES(alpha)</f>
        <v/>
      </c>
      <c r="C49" s="8" t="inlineStr">
        <is>
          <t>°</t>
        </is>
      </c>
      <c r="D49" s="10" t="inlineStr"/>
    </row>
    <row r="50">
      <c r="A50" s="8" t="inlineStr">
        <is>
          <t>R_c (채택)</t>
        </is>
      </c>
      <c r="B50" s="8">
        <f>IF(in_mode="B",R_B,Rc_in)</f>
        <v/>
      </c>
      <c r="C50" s="8" t="inlineStr">
        <is>
          <t>mm</t>
        </is>
      </c>
      <c r="D50" s="10" t="inlineStr"/>
    </row>
    <row r="51">
      <c r="A51" s="8" t="inlineStr">
        <is>
          <t>R_v (채택)</t>
        </is>
      </c>
      <c r="B51" s="8">
        <f>IF(in_mode="B",R_B,Rv_in)</f>
        <v/>
      </c>
      <c r="C51" s="8" t="inlineStr">
        <is>
          <t>mm</t>
        </is>
      </c>
      <c r="D51" s="10" t="inlineStr"/>
    </row>
    <row r="52">
      <c r="A52" s="8" t="inlineStr">
        <is>
          <t>접선(플랭크) 길이 T_L</t>
        </is>
      </c>
      <c r="B52" s="8">
        <f>MAX(0,(c_-(Rc+Rv)*SIN(alpha))/COS(alpha))</f>
        <v/>
      </c>
      <c r="C52" s="8" t="inlineStr">
        <is>
          <t>mm</t>
        </is>
      </c>
      <c r="D52" s="10" t="inlineStr">
        <is>
          <t>수평식. 반주기당 직선 길이</t>
        </is>
      </c>
    </row>
    <row r="53">
      <c r="A53" s="8" t="inlineStr">
        <is>
          <t>R_min</t>
        </is>
      </c>
      <c r="B53" s="8">
        <f>MIN(Rc,Rv)</f>
        <v/>
      </c>
      <c r="C53" s="8" t="inlineStr">
        <is>
          <t>mm</t>
        </is>
      </c>
      <c r="D53" s="10" t="inlineStr"/>
    </row>
    <row r="54">
      <c r="A54" s="8" t="inlineStr">
        <is>
          <t>형상 정합 검사 (수직식 잔차)</t>
        </is>
      </c>
      <c r="B54" s="16">
        <f>(Rc+Rv)*(1-COS(alpha))+TL*SIN(alpha)-H_mid</f>
        <v/>
      </c>
      <c r="C54" s="8" t="inlineStr">
        <is>
          <t>mm</t>
        </is>
      </c>
      <c r="D54" s="10" t="inlineStr">
        <is>
          <t>0 이어야 함 (모드 A 수렴, 모드 B 물리해 확인)</t>
        </is>
      </c>
    </row>
    <row r="56">
      <c r="A56" s="6" t="inlineStr">
        <is>
          <t>파생량 (docs/05 §3, Lang &amp; Su Eq. 27 일반화)</t>
        </is>
      </c>
      <c r="B56" s="6" t="n"/>
      <c r="C56" s="6" t="n"/>
      <c r="D56" s="6" t="n"/>
    </row>
    <row r="57">
      <c r="A57" s="7" t="inlineStr">
        <is>
          <t>항목</t>
        </is>
      </c>
      <c r="B57" s="7" t="inlineStr">
        <is>
          <t>값</t>
        </is>
      </c>
      <c r="C57" s="7" t="inlineStr">
        <is>
          <t>단위</t>
        </is>
      </c>
      <c r="D57" s="7" t="inlineStr">
        <is>
          <t>비고 / 수식 근거</t>
        </is>
      </c>
    </row>
    <row r="58">
      <c r="A58" s="8" t="inlineStr">
        <is>
          <t>반주기 호장 l</t>
        </is>
      </c>
      <c r="B58" s="8">
        <f>(Rc+Rv)*alpha+TL</f>
        <v/>
      </c>
      <c r="C58" s="8" t="inlineStr">
        <is>
          <t>mm</t>
        </is>
      </c>
      <c r="D58" s="10" t="inlineStr"/>
    </row>
    <row r="59">
      <c r="A59" s="8" t="inlineStr">
        <is>
          <t>λ = l/c</t>
        </is>
      </c>
      <c r="B59" s="8">
        <f>l_/c_</f>
        <v/>
      </c>
      <c r="C59" s="8" t="inlineStr"/>
      <c r="D59" s="10" t="inlineStr"/>
    </row>
    <row r="60">
      <c r="A60" s="8" t="inlineStr">
        <is>
          <t>q = ∫₀^α cos²θ dθ</t>
        </is>
      </c>
      <c r="B60" s="8">
        <f>alpha/2+SIN(2*alpha)/4</f>
        <v/>
      </c>
      <c r="C60" s="8" t="inlineStr">
        <is>
          <t>rad</t>
        </is>
      </c>
      <c r="D60" s="10" t="inlineStr"/>
    </row>
    <row r="61">
      <c r="A61" s="8" t="inlineStr">
        <is>
          <t>I1 = ∫(dx/ds)² ds (1주기)</t>
        </is>
      </c>
      <c r="B61" s="8">
        <f>2*((Rc+Rv)*q_int+TL*COS(alpha)^2)</f>
        <v/>
      </c>
      <c r="C61" s="8" t="inlineStr">
        <is>
          <t>mm</t>
        </is>
      </c>
      <c r="D61" s="10" t="inlineStr"/>
    </row>
    <row r="62">
      <c r="A62" s="8" t="inlineStr">
        <is>
          <t>산 원호 중심 |z| = f − R_c</t>
        </is>
      </c>
      <c r="B62" s="8">
        <f>f_-Rc</f>
        <v/>
      </c>
      <c r="C62" s="8" t="inlineStr">
        <is>
          <t>mm</t>
        </is>
      </c>
      <c r="D62" s="10" t="inlineStr"/>
    </row>
    <row r="63">
      <c r="A63" s="8" t="inlineStr">
        <is>
          <t>골 원호 중심 |z| = f − R_v</t>
        </is>
      </c>
      <c r="B63" s="8">
        <f>f_-Rv</f>
        <v/>
      </c>
      <c r="C63" s="8" t="inlineStr">
        <is>
          <t>mm</t>
        </is>
      </c>
      <c r="D63" s="10" t="inlineStr"/>
    </row>
    <row r="64">
      <c r="A64" s="8" t="inlineStr">
        <is>
          <t>플랭크 시작 z1</t>
        </is>
      </c>
      <c r="B64" s="8">
        <f>f_-Rc*(1-COS(alpha))</f>
        <v/>
      </c>
      <c r="C64" s="8" t="inlineStr">
        <is>
          <t>mm</t>
        </is>
      </c>
      <c r="D64" s="10" t="inlineStr"/>
    </row>
    <row r="65">
      <c r="A65" s="8" t="inlineStr">
        <is>
          <t>플랭크 끝 z2</t>
        </is>
      </c>
      <c r="B65" s="8">
        <f>z_1-TL*SIN(alpha)</f>
        <v/>
      </c>
      <c r="C65" s="8" t="inlineStr">
        <is>
          <t>mm</t>
        </is>
      </c>
      <c r="D65" s="10" t="inlineStr"/>
    </row>
    <row r="66">
      <c r="A66" s="8" t="inlineStr">
        <is>
          <t>I2 산 원호</t>
        </is>
      </c>
      <c r="B66" s="8">
        <f>Rc*(a_c^2*alpha+2*a_c*Rc*SIN(alpha)+Rc^2*q_int)</f>
        <v/>
      </c>
      <c r="C66" s="8" t="inlineStr">
        <is>
          <t>mm³</t>
        </is>
      </c>
      <c r="D66" s="10" t="inlineStr"/>
    </row>
    <row r="67">
      <c r="A67" s="8" t="inlineStr">
        <is>
          <t>I2 골 원호</t>
        </is>
      </c>
      <c r="B67" s="8">
        <f>Rv*(a_v^2*alpha+2*a_v*Rv*SIN(alpha)+Rv^2*q_int)</f>
        <v/>
      </c>
      <c r="C67" s="8" t="inlineStr">
        <is>
          <t>mm³</t>
        </is>
      </c>
      <c r="D67" s="10" t="inlineStr"/>
    </row>
    <row r="68">
      <c r="A68" s="8" t="inlineStr">
        <is>
          <t>I2 플랭크</t>
        </is>
      </c>
      <c r="B68" s="8">
        <f>IF(TL&gt;0,(z_1^3-z_2^3)/(3*SIN(alpha)),0)</f>
        <v/>
      </c>
      <c r="C68" s="8" t="inlineStr">
        <is>
          <t>mm³</t>
        </is>
      </c>
      <c r="D68" s="10" t="inlineStr"/>
    </row>
    <row r="69">
      <c r="A69" s="8" t="inlineStr">
        <is>
          <t>I2 = ∫ z² ds (1주기)</t>
        </is>
      </c>
      <c r="B69" s="8">
        <f>2*(I_2c+I_2f+I_2v)</f>
        <v/>
      </c>
      <c r="C69" s="8" t="inlineStr">
        <is>
          <t>mm³</t>
        </is>
      </c>
      <c r="D69" s="10" t="inlineStr"/>
    </row>
    <row r="70">
      <c r="A70" s="8" t="inlineStr">
        <is>
          <t>J1 = I1/(2c) = ⟨1/√a⟩</t>
        </is>
      </c>
      <c r="B70" s="8">
        <f>I_1/(2*c_)</f>
        <v/>
      </c>
      <c r="C70" s="8" t="inlineStr"/>
      <c r="D70" s="10" t="inlineStr"/>
    </row>
    <row r="71">
      <c r="A71" s="8" t="inlineStr">
        <is>
          <t>J2 = I2/(2c) = ε²⟨φ²√a⟩</t>
        </is>
      </c>
      <c r="B71" s="8">
        <f>I_2/(2*c_)</f>
        <v/>
      </c>
      <c r="C71" s="8" t="inlineStr">
        <is>
          <t>mm²</t>
        </is>
      </c>
      <c r="D71" s="10" t="inlineStr"/>
    </row>
    <row r="72">
      <c r="A72" s="8" t="inlineStr">
        <is>
          <t>단위폭 단면적 A_u = hλ</t>
        </is>
      </c>
      <c r="B72" s="8">
        <f>h_calc*lam</f>
        <v/>
      </c>
      <c r="C72" s="8" t="inlineStr">
        <is>
          <t>mm²/mm</t>
        </is>
      </c>
      <c r="D72" s="10" t="inlineStr"/>
    </row>
    <row r="73">
      <c r="A73" s="8" t="inlineStr">
        <is>
          <t>단위폭 2차모멘트 I_u = h·J2</t>
        </is>
      </c>
      <c r="B73" s="8">
        <f>h_calc*J_2</f>
        <v/>
      </c>
      <c r="C73" s="8" t="inlineStr">
        <is>
          <t>mm⁴/mm</t>
        </is>
      </c>
      <c r="D73" s="10" t="inlineStr"/>
    </row>
    <row r="74">
      <c r="A74" s="8" t="inlineStr">
        <is>
          <t>단위폭 단면계수 W_u</t>
        </is>
      </c>
      <c r="B74" s="8">
        <f>I_u/(f_+h_calc/2)</f>
        <v/>
      </c>
      <c r="C74" s="8" t="inlineStr">
        <is>
          <t>mm³/mm</t>
        </is>
      </c>
      <c r="D74" s="10" t="inlineStr"/>
    </row>
    <row r="76">
      <c r="A76" s="6" t="inlineStr">
        <is>
          <t>무차원·경고</t>
        </is>
      </c>
      <c r="B76" s="6" t="n"/>
      <c r="C76" s="6" t="n"/>
      <c r="D76" s="6" t="n"/>
    </row>
    <row r="77">
      <c r="A77" s="7" t="inlineStr">
        <is>
          <t>항목</t>
        </is>
      </c>
      <c r="B77" s="7" t="inlineStr">
        <is>
          <t>값</t>
        </is>
      </c>
      <c r="C77" s="7" t="inlineStr">
        <is>
          <t>단위</t>
        </is>
      </c>
      <c r="D77" s="7" t="inlineStr">
        <is>
          <t>비고 / 수식 근거</t>
        </is>
      </c>
    </row>
    <row r="78">
      <c r="A78" s="8" t="inlineStr">
        <is>
          <t>H/p</t>
        </is>
      </c>
      <c r="B78" s="8">
        <f>H_mid/p_</f>
        <v/>
      </c>
      <c r="C78" s="8" t="inlineStr"/>
      <c r="D78" s="10" t="inlineStr"/>
    </row>
    <row r="79">
      <c r="A79" s="8" t="inlineStr">
        <is>
          <t>t/p</t>
        </is>
      </c>
      <c r="B79" s="8">
        <f>h_calc/p_</f>
        <v/>
      </c>
      <c r="C79" s="8" t="inlineStr"/>
      <c r="D79" s="10" t="inlineStr"/>
    </row>
    <row r="80">
      <c r="A80" s="8" t="inlineStr">
        <is>
          <t>t/R_min</t>
        </is>
      </c>
      <c r="B80" s="8">
        <f>h_calc/Rmin</f>
        <v/>
      </c>
      <c r="C80" s="8" t="inlineStr"/>
      <c r="D80" s="10" t="inlineStr"/>
    </row>
    <row r="81">
      <c r="A81" s="8" t="inlineStr">
        <is>
          <t>경고: 두께</t>
        </is>
      </c>
      <c r="B81" s="17">
        <f>IF(ISBLANK(in_tmin),"t_min 미입력 → 공칭 두께로 계산 (성형 두께 감소 미반영)","-")</f>
        <v/>
      </c>
      <c r="C81" s="8" t="inlineStr"/>
      <c r="D81" s="10" t="inlineStr"/>
    </row>
    <row r="82">
      <c r="A82" s="8" t="inlineStr">
        <is>
          <t>경고: t/R_min</t>
        </is>
      </c>
      <c r="B82" s="17">
        <f>IF(tR&gt;0.2,"t/R_min &gt; 0.2: 쉘 이론 범위 밖. 능선 응력은 D단계 솔리드 FE 보정 (09 §5)","-")</f>
        <v/>
      </c>
      <c r="C82" s="8" t="inlineStr"/>
      <c r="D82" s="10" t="inlineStr"/>
    </row>
    <row r="83">
      <c r="A83" s="8" t="inlineStr">
        <is>
          <t>경고: H/p</t>
        </is>
      </c>
      <c r="B83" s="17">
        <f>IF(Hp&gt;1,"H/p &gt; 1: 문헌 검증 범위 밖","-")</f>
        <v/>
      </c>
      <c r="C83" s="8" t="inlineStr"/>
      <c r="D83" s="10" t="inlineStr"/>
    </row>
    <row r="84">
      <c r="A84" s="8" t="inlineStr">
        <is>
          <t>경고: 수렴</t>
        </is>
      </c>
      <c r="B84" s="17">
        <f>IF(AND(in_mode="A",resid_A&gt;0.000000001),"모드 A Newton 미수렴: R_c/R_v 가 커서 접선 구간이 없음","-")</f>
        <v/>
      </c>
      <c r="C84" s="8" t="inlineStr"/>
      <c r="D84" s="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</cols>
  <sheetData>
    <row r="1">
      <c r="A1" s="1" t="inlineStr">
        <is>
          <t>국부축 등가 강성 — 채택식 (docs/06 §2, Ye 2014 Eq. 19) 및 등가 두께 (docs/09 §1)</t>
        </is>
      </c>
    </row>
    <row r="4">
      <c r="A4" s="6" t="inlineStr">
        <is>
          <t>재료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E</t>
        </is>
      </c>
      <c r="B6" s="14">
        <f>in_E</f>
        <v/>
      </c>
      <c r="C6" s="8" t="inlineStr">
        <is>
          <t>MPa</t>
        </is>
      </c>
      <c r="D6" s="10" t="inlineStr"/>
    </row>
    <row r="7">
      <c r="A7" s="8" t="inlineStr">
        <is>
          <t>ν</t>
        </is>
      </c>
      <c r="B7" s="14">
        <f>in_nu</f>
        <v/>
      </c>
      <c r="C7" s="8" t="inlineStr"/>
      <c r="D7" s="10" t="inlineStr"/>
    </row>
    <row r="8">
      <c r="A8" s="8" t="inlineStr">
        <is>
          <t>G = E/(2(1+ν))</t>
        </is>
      </c>
      <c r="B8" s="8">
        <f>E_/(2*(1+nu_))</f>
        <v/>
      </c>
      <c r="C8" s="8" t="inlineStr">
        <is>
          <t>MPa</t>
        </is>
      </c>
      <c r="D8" s="10" t="inlineStr"/>
    </row>
    <row r="9">
      <c r="A9" s="8" t="inlineStr">
        <is>
          <t>Q = E/(1−ν²)</t>
        </is>
      </c>
      <c r="B9" s="8">
        <f>E_/(1-nu_^2)</f>
        <v/>
      </c>
      <c r="C9" s="8" t="inlineStr">
        <is>
          <t>MPa</t>
        </is>
      </c>
      <c r="D9" s="10" t="inlineStr">
        <is>
          <t>평면응력 강성</t>
        </is>
      </c>
    </row>
    <row r="11">
      <c r="A11" s="6" t="inlineStr">
        <is>
          <t>채택식 A (막) [N/mm], D (굽힘) [N·mm]  — x ⊥ 능선, y ∥ 능선</t>
        </is>
      </c>
      <c r="B11" s="6" t="n"/>
      <c r="C11" s="6" t="n"/>
      <c r="D11" s="6" t="n"/>
    </row>
    <row r="12">
      <c r="A12" s="7" t="inlineStr">
        <is>
          <t>항목</t>
        </is>
      </c>
      <c r="B12" s="7" t="inlineStr">
        <is>
          <t>값</t>
        </is>
      </c>
      <c r="C12" s="7" t="inlineStr">
        <is>
          <t>단위</t>
        </is>
      </c>
      <c r="D12" s="7" t="inlineStr">
        <is>
          <t>비고 / 수식 근거</t>
        </is>
      </c>
    </row>
    <row r="13">
      <c r="A13" s="8" t="inlineStr">
        <is>
          <t>A11</t>
        </is>
      </c>
      <c r="B13" s="18">
        <f>E_*h_calc^3/((1-nu_^2)*(12*J_2+h_calc^2*J_1))</f>
        <v/>
      </c>
      <c r="C13" s="8" t="inlineStr">
        <is>
          <t>N/mm</t>
        </is>
      </c>
      <c r="D13" s="10" t="inlineStr">
        <is>
          <t>E h³ / ((1−ν²)(12J2 + h²J1))</t>
        </is>
      </c>
    </row>
    <row r="14">
      <c r="A14" s="8" t="inlineStr">
        <is>
          <t>A12</t>
        </is>
      </c>
      <c r="B14" s="18">
        <f>nu_*A_11</f>
        <v/>
      </c>
      <c r="C14" s="8" t="inlineStr">
        <is>
          <t>N/mm</t>
        </is>
      </c>
      <c r="D14" s="10" t="inlineStr">
        <is>
          <t>ν A11</t>
        </is>
      </c>
    </row>
    <row r="15">
      <c r="A15" s="8" t="inlineStr">
        <is>
          <t>A22</t>
        </is>
      </c>
      <c r="B15" s="18">
        <f>E_*h_calc*lam+nu_^2*A_11</f>
        <v/>
      </c>
      <c r="C15" s="8" t="inlineStr">
        <is>
          <t>N/mm</t>
        </is>
      </c>
      <c r="D15" s="10" t="inlineStr">
        <is>
          <t>E h λ + ν² A11</t>
        </is>
      </c>
    </row>
    <row r="16">
      <c r="A16" s="8" t="inlineStr">
        <is>
          <t>A66</t>
        </is>
      </c>
      <c r="B16" s="18">
        <f>G_*h_calc/lam</f>
        <v/>
      </c>
      <c r="C16" s="8" t="inlineStr">
        <is>
          <t>N/mm</t>
        </is>
      </c>
      <c r="D16" s="10" t="inlineStr">
        <is>
          <t>G h / λ</t>
        </is>
      </c>
    </row>
    <row r="17">
      <c r="A17" s="8" t="inlineStr">
        <is>
          <t>D11</t>
        </is>
      </c>
      <c r="B17" s="18">
        <f>E_*h_calc^3/(12*(1-nu_^2)*lam)</f>
        <v/>
      </c>
      <c r="C17" s="8" t="inlineStr">
        <is>
          <t>N·mm</t>
        </is>
      </c>
      <c r="D17" s="10" t="inlineStr">
        <is>
          <t>E h³ / (12(1−ν²) λ)</t>
        </is>
      </c>
    </row>
    <row r="18">
      <c r="A18" s="8" t="inlineStr">
        <is>
          <t>D12</t>
        </is>
      </c>
      <c r="B18" s="18">
        <f>nu_*D_11</f>
        <v/>
      </c>
      <c r="C18" s="8" t="inlineStr">
        <is>
          <t>N·mm</t>
        </is>
      </c>
      <c r="D18" s="10" t="inlineStr">
        <is>
          <t>ν D11</t>
        </is>
      </c>
    </row>
    <row r="19">
      <c r="A19" s="8" t="inlineStr">
        <is>
          <t>D22</t>
        </is>
      </c>
      <c r="B19" s="18">
        <f>E_*h_calc*J_2+E_*h_calc^3*J_1/12+nu_^2*D_11</f>
        <v/>
      </c>
      <c r="C19" s="8" t="inlineStr">
        <is>
          <t>N·mm</t>
        </is>
      </c>
      <c r="D19" s="10" t="inlineStr">
        <is>
          <t>E h J2 + E h³ J1/12 + ν² D11</t>
        </is>
      </c>
    </row>
    <row r="20">
      <c r="A20" s="8" t="inlineStr">
        <is>
          <t>D66</t>
        </is>
      </c>
      <c r="B20" s="18">
        <f>G_*h_calc^3*lam/12</f>
        <v/>
      </c>
      <c r="C20" s="8" t="inlineStr">
        <is>
          <t>N·mm</t>
        </is>
      </c>
      <c r="D20" s="10" t="inlineStr">
        <is>
          <t>G h³ λ / 12 (κ_xy 공학 비틀림 관례: M_xy = D66·2κ_xy)</t>
        </is>
      </c>
    </row>
    <row r="21">
      <c r="A21" s="8" t="inlineStr">
        <is>
          <t>A22/A11</t>
        </is>
      </c>
      <c r="B21" s="18">
        <f>A_22/A_11</f>
        <v/>
      </c>
      <c r="C21" s="8" t="inlineStr"/>
      <c r="D21" s="10" t="inlineStr">
        <is>
          <t>직교이방성 비</t>
        </is>
      </c>
    </row>
    <row r="22">
      <c r="A22" s="8" t="inlineStr">
        <is>
          <t>D22/D11</t>
        </is>
      </c>
      <c r="B22" s="18">
        <f>D_22/D_11</f>
        <v/>
      </c>
      <c r="C22" s="8" t="inlineStr"/>
      <c r="D22" s="10" t="inlineStr"/>
    </row>
    <row r="23">
      <c r="A23" s="8" t="inlineStr">
        <is>
          <t>A66/A11</t>
        </is>
      </c>
      <c r="B23" s="18">
        <f>A_66/A_11</f>
        <v/>
      </c>
      <c r="C23" s="8" t="inlineStr"/>
      <c r="D23" s="10" t="inlineStr"/>
    </row>
    <row r="25">
      <c r="A25" s="6" t="inlineStr">
        <is>
          <t>모델 비교 (채택식 대비 %, docs/06 §3)</t>
        </is>
      </c>
      <c r="B25" s="6" t="n"/>
      <c r="C25" s="6" t="n"/>
      <c r="D25" s="6" t="n"/>
    </row>
    <row r="26">
      <c r="A26" s="7" t="inlineStr">
        <is>
          <t>항목</t>
        </is>
      </c>
      <c r="B26" s="7" t="inlineStr">
        <is>
          <t>값</t>
        </is>
      </c>
      <c r="C26" s="7" t="inlineStr">
        <is>
          <t>단위</t>
        </is>
      </c>
      <c r="D26" s="7" t="inlineStr">
        <is>
          <t>비고 / 수식 근거</t>
        </is>
      </c>
    </row>
    <row r="27">
      <c r="A27" s="8" t="inlineStr">
        <is>
          <t>Xia 2012 D22 (Dirichlet 상한)</t>
        </is>
      </c>
      <c r="B27" s="15">
        <f>((E_*h_calc*J_2+E_*h_calc^3*J_1/12)/(1-nu_^2)/D_22-1)*100</f>
        <v/>
      </c>
      <c r="C27" s="8" t="inlineStr">
        <is>
          <t>%</t>
        </is>
      </c>
      <c r="D27" s="10" t="inlineStr">
        <is>
          <t>1/(1−ν²) 과대</t>
        </is>
      </c>
    </row>
    <row r="28">
      <c r="A28" s="8" t="inlineStr">
        <is>
          <t>Lang &amp; Su 2022 A22</t>
        </is>
      </c>
      <c r="B28" s="15">
        <f>((nu_^2*A_11+(1-nu_^2)*E_*h_calc*lam)/A_22-1)*100</f>
        <v/>
      </c>
      <c r="C28" s="8" t="inlineStr">
        <is>
          <t>%</t>
        </is>
      </c>
      <c r="D28" s="10" t="inlineStr">
        <is>
          <t>평판 극한 불환원</t>
        </is>
      </c>
    </row>
    <row r="29">
      <c r="A29" s="8" t="inlineStr">
        <is>
          <t>Lang &amp; Su 2022 A11</t>
        </is>
      </c>
      <c r="B29" s="15">
        <f>((E_*h_calc^3/(12*J_2*(1-nu_^2)+h_calc^2*J_1))/A_11-1)*100</f>
        <v/>
      </c>
      <c r="C29" s="8" t="inlineStr">
        <is>
          <t>%</t>
        </is>
      </c>
      <c r="D29" s="10" t="inlineStr"/>
    </row>
    <row r="30">
      <c r="A30" s="8" t="inlineStr">
        <is>
          <t>Ye 얕은 주름식 A11</t>
        </is>
      </c>
      <c r="B30" s="15">
        <f>((E_*h_calc^3/(12*(1-nu_^2)*J_2))/A_11-1)*100</f>
        <v/>
      </c>
      <c r="C30" s="8" t="inlineStr">
        <is>
          <t>%</t>
        </is>
      </c>
      <c r="D30" s="10" t="inlineStr">
        <is>
          <t>J1 항 생략</t>
        </is>
      </c>
    </row>
    <row r="31">
      <c r="A31" s="8" t="inlineStr">
        <is>
          <t>Ye 얕은 주름식 D22</t>
        </is>
      </c>
      <c r="B31" s="15">
        <f>((E_*h_calc*J_2)/D_22-1)*100</f>
        <v/>
      </c>
      <c r="C31" s="8" t="inlineStr">
        <is>
          <t>%</t>
        </is>
      </c>
      <c r="D31" s="10" t="inlineStr"/>
    </row>
    <row r="33">
      <c r="A33" s="6" t="inlineStr">
        <is>
          <t>등가 두께 (docs/09 §1)</t>
        </is>
      </c>
      <c r="B33" s="6" t="n"/>
      <c r="C33" s="6" t="n"/>
      <c r="D33" s="6" t="n"/>
    </row>
    <row r="34">
      <c r="A34" s="7" t="inlineStr">
        <is>
          <t>항목</t>
        </is>
      </c>
      <c r="B34" s="7" t="inlineStr">
        <is>
          <t>값</t>
        </is>
      </c>
      <c r="C34" s="7" t="inlineStr">
        <is>
          <t>단위</t>
        </is>
      </c>
      <c r="D34" s="7" t="inlineStr">
        <is>
          <t>비고 / 수식 근거</t>
        </is>
      </c>
    </row>
    <row r="35">
      <c r="A35" s="8" t="inlineStr">
        <is>
          <t>t_b = √(12 D11/A11)</t>
        </is>
      </c>
      <c r="B35" s="15">
        <f>SQRT(12*D_11/A_11)</f>
        <v/>
      </c>
      <c r="C35" s="8" t="inlineStr">
        <is>
          <t>mm</t>
        </is>
      </c>
      <c r="D35" s="10" t="inlineStr">
        <is>
          <t>굽힘–막 정합 (11/12/22 공통)</t>
        </is>
      </c>
    </row>
    <row r="36">
      <c r="A36" s="8" t="inlineStr">
        <is>
          <t>√(12 D22/A22) (검사)</t>
        </is>
      </c>
      <c r="B36" s="15">
        <f>SQRT(12*D_22/A_22)</f>
        <v/>
      </c>
      <c r="C36" s="8" t="inlineStr">
        <is>
          <t>mm</t>
        </is>
      </c>
      <c r="D36" s="10" t="inlineStr">
        <is>
          <t>t_b 와 같아야 함</t>
        </is>
      </c>
    </row>
    <row r="37">
      <c r="A37" s="8" t="inlineStr">
        <is>
          <t>t_s = √(12 D66/A66) = hλ</t>
        </is>
      </c>
      <c r="B37" s="15">
        <f>SQRT(12*D_66/A_66)</f>
        <v/>
      </c>
      <c r="C37" s="8" t="inlineStr">
        <is>
          <t>mm</t>
        </is>
      </c>
      <c r="D37" s="10" t="inlineStr">
        <is>
          <t>전단–비틀림 정합</t>
        </is>
      </c>
    </row>
    <row r="38">
      <c r="A38" s="8" t="inlineStr">
        <is>
          <t>t_m = hλ</t>
        </is>
      </c>
      <c r="B38" s="15">
        <f>h_calc*lam</f>
        <v/>
      </c>
      <c r="C38" s="8" t="inlineStr">
        <is>
          <t>mm</t>
        </is>
      </c>
      <c r="D38" s="10" t="inlineStr">
        <is>
          <t>질량·전개면적</t>
        </is>
      </c>
    </row>
    <row r="40">
      <c r="A40" s="6" t="inlineStr">
        <is>
          <t>균질 직교이방성 단일층 (t_e = t_b, 간이 검토용 — 조립체 FE 에는 GENS 절 사용)</t>
        </is>
      </c>
      <c r="B40" s="6" t="n"/>
      <c r="C40" s="6" t="n"/>
      <c r="D40" s="6" t="n"/>
    </row>
    <row r="41">
      <c r="A41" s="7" t="inlineStr">
        <is>
          <t>항목</t>
        </is>
      </c>
      <c r="B41" s="7" t="inlineStr">
        <is>
          <t>값</t>
        </is>
      </c>
      <c r="C41" s="7" t="inlineStr">
        <is>
          <t>단위</t>
        </is>
      </c>
      <c r="D41" s="7" t="inlineStr">
        <is>
          <t>비고 / 수식 근거</t>
        </is>
      </c>
    </row>
    <row r="42">
      <c r="A42" s="8" t="inlineStr">
        <is>
          <t>E_x</t>
        </is>
      </c>
      <c r="B42" s="18">
        <f>(A_11*A_22-A_12^2)/(A_22*t_b)</f>
        <v/>
      </c>
      <c r="C42" s="8" t="inlineStr">
        <is>
          <t>MPa</t>
        </is>
      </c>
      <c r="D42" s="10" t="inlineStr"/>
    </row>
    <row r="43">
      <c r="A43" s="8" t="inlineStr">
        <is>
          <t>E_y</t>
        </is>
      </c>
      <c r="B43" s="18">
        <f>(A_11*A_22-A_12^2)/(A_11*t_b)</f>
        <v/>
      </c>
      <c r="C43" s="8" t="inlineStr">
        <is>
          <t>MPa</t>
        </is>
      </c>
      <c r="D43" s="10" t="inlineStr"/>
    </row>
    <row r="44">
      <c r="A44" s="8" t="inlineStr">
        <is>
          <t>ν_xy</t>
        </is>
      </c>
      <c r="B44" s="15">
        <f>A_12/A_22</f>
        <v/>
      </c>
      <c r="C44" s="8" t="inlineStr"/>
      <c r="D44" s="10" t="inlineStr"/>
    </row>
    <row r="45">
      <c r="A45" s="8" t="inlineStr">
        <is>
          <t>G_xy (A66 기준)</t>
        </is>
      </c>
      <c r="B45" s="18">
        <f>A_66/t_b</f>
        <v/>
      </c>
      <c r="C45" s="8" t="inlineStr">
        <is>
          <t>MPa</t>
        </is>
      </c>
      <c r="D45" s="10" t="inlineStr">
        <is>
          <t>D66 오차 → 아래</t>
        </is>
      </c>
    </row>
    <row r="46">
      <c r="A46" s="8" t="inlineStr">
        <is>
          <t xml:space="preserve">  → D66 재현 오차</t>
        </is>
      </c>
      <c r="B46" s="15">
        <f>(GA_h*t_b^3/12/D_66-1)*100</f>
        <v/>
      </c>
      <c r="C46" s="8" t="inlineStr">
        <is>
          <t>%</t>
        </is>
      </c>
      <c r="D46" s="10" t="inlineStr"/>
    </row>
    <row r="47">
      <c r="A47" s="8" t="inlineStr">
        <is>
          <t>G_xy (D66 기준)</t>
        </is>
      </c>
      <c r="B47" s="18">
        <f>12*D_66/t_b^3</f>
        <v/>
      </c>
      <c r="C47" s="8" t="inlineStr">
        <is>
          <t>MPa</t>
        </is>
      </c>
      <c r="D47" s="10" t="inlineStr">
        <is>
          <t>A66 오차 → 아래</t>
        </is>
      </c>
    </row>
    <row r="48">
      <c r="A48" s="8" t="inlineStr">
        <is>
          <t xml:space="preserve">  → A66 재현 오차</t>
        </is>
      </c>
      <c r="B48" s="15">
        <f>(GD_h*t_b/A_66-1)*100</f>
        <v/>
      </c>
      <c r="C48" s="8" t="inlineStr">
        <is>
          <t>%</t>
        </is>
      </c>
      <c r="D48" s="10" t="inlineStr"/>
    </row>
    <row r="50">
      <c r="A50" s="6" t="inlineStr">
        <is>
          <t>응력집중 (Briassoulis 1986 B2)</t>
        </is>
      </c>
      <c r="B50" s="6" t="n"/>
      <c r="C50" s="6" t="n"/>
      <c r="D50" s="6" t="n"/>
    </row>
    <row r="51">
      <c r="A51" s="7" t="inlineStr">
        <is>
          <t>항목</t>
        </is>
      </c>
      <c r="B51" s="7" t="inlineStr">
        <is>
          <t>값</t>
        </is>
      </c>
      <c r="C51" s="7" t="inlineStr">
        <is>
          <t>단위</t>
        </is>
      </c>
      <c r="D51" s="7" t="inlineStr">
        <is>
          <t>비고 / 수식 근거</t>
        </is>
      </c>
    </row>
    <row r="52">
      <c r="A52" s="8" t="inlineStr">
        <is>
          <t>K_t = 1 + 6f/h (능선 가로 인장, 내측)</t>
        </is>
      </c>
      <c r="B52" s="15">
        <f>1+6*f_/h_calc</f>
        <v/>
      </c>
      <c r="C52" s="8" t="inlineStr"/>
      <c r="D52" s="10" t="inlineStr">
        <is>
          <t>σ_s,inner / (N_x/h)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90" customWidth="1" min="4" max="4"/>
  </cols>
  <sheetData>
    <row r="1">
      <c r="A1" s="1" t="inlineStr">
        <is>
          <t>판축 영역 강성 (docs/07) 및 ANSYS preintegrated general shell section 입력 (docs/09 §2)</t>
        </is>
      </c>
    </row>
    <row r="4">
      <c r="A4" s="6" t="inlineStr">
        <is>
          <t>회전각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우측 영역 θ_R = −β</t>
        </is>
      </c>
      <c r="B6" s="8">
        <f>-beta</f>
        <v/>
      </c>
      <c r="C6" s="8" t="inlineStr">
        <is>
          <t>rad</t>
        </is>
      </c>
      <c r="D6" s="10" t="inlineStr">
        <is>
          <t>능선이 +β 방향인 영역</t>
        </is>
      </c>
    </row>
    <row r="7">
      <c r="A7" s="8" t="inlineStr">
        <is>
          <t>좌측 영역 θ_L = +β</t>
        </is>
      </c>
      <c r="B7" s="8">
        <f>beta</f>
        <v/>
      </c>
      <c r="C7" s="8" t="inlineStr">
        <is>
          <t>rad</t>
        </is>
      </c>
      <c r="D7" s="10" t="inlineStr"/>
    </row>
    <row r="8">
      <c r="A8" s="4" t="inlineStr">
        <is>
          <t>Q̄ 폐형식 (Jones 1975): m=cosθ, n=sinθ.  11: q11m⁴+2(q12+2q66)n²m²+q22n⁴ ; 22: q11n⁴+…+q22m⁴ ; 12: (q11+q22−4q66)n²m²+q12(n⁴+m⁴)</t>
        </is>
      </c>
    </row>
    <row r="9">
      <c r="A9" s="4" t="inlineStr">
        <is>
          <t>66: (q11+q22−2q12−2q66)n²m²+q66(n⁴+m⁴) ; 16: (q11−q12−2q66)nm³+(q12−q22+2q66)n³m ; 26: (q11−q12−2q66)n³m+(q12−q22+2q66)nm³</t>
        </is>
      </c>
    </row>
    <row r="11">
      <c r="A11" s="7" t="inlineStr">
        <is>
          <t>성분</t>
        </is>
      </c>
      <c r="B11" s="7" t="inlineStr">
        <is>
          <t>우측 영역 (θ=−β)</t>
        </is>
      </c>
      <c r="C11" s="7" t="inlineStr">
        <is>
          <t>좌측 영역 (θ=+β)</t>
        </is>
      </c>
      <c r="D11" s="7" t="inlineStr">
        <is>
          <t>비고</t>
        </is>
      </c>
    </row>
    <row r="12">
      <c r="A12" s="8" t="inlineStr">
        <is>
          <t>A11</t>
        </is>
      </c>
      <c r="B12" s="18">
        <f>A_11*COS(th_R)^4+2*(A_12+2*A_66)*SIN(th_R)^2*COS(th_R)^2+A_22*SIN(th_R)^4</f>
        <v/>
      </c>
      <c r="C12" s="18">
        <f>A_11*COS(th_L)^4+2*(A_12+2*A_66)*SIN(th_L)^2*COS(th_L)^2+A_22*SIN(th_L)^4</f>
        <v/>
      </c>
      <c r="D12" s="10" t="inlineStr">
        <is>
          <t>N/mm</t>
        </is>
      </c>
    </row>
    <row r="13">
      <c r="A13" s="8" t="inlineStr">
        <is>
          <t>A22</t>
        </is>
      </c>
      <c r="B13" s="18">
        <f>A_11*SIN(th_R)^4+2*(A_12+2*A_66)*SIN(th_R)^2*COS(th_R)^2+A_22*COS(th_R)^4</f>
        <v/>
      </c>
      <c r="C13" s="18">
        <f>A_11*SIN(th_L)^4+2*(A_12+2*A_66)*SIN(th_L)^2*COS(th_L)^2+A_22*COS(th_L)^4</f>
        <v/>
      </c>
      <c r="D13" s="10" t="inlineStr">
        <is>
          <t>N/mm</t>
        </is>
      </c>
    </row>
    <row r="14">
      <c r="A14" s="8" t="inlineStr">
        <is>
          <t>A12</t>
        </is>
      </c>
      <c r="B14" s="18">
        <f>(A_11+A_22-4*A_66)*SIN(th_R)^2*COS(th_R)^2+A_12*(SIN(th_R)^4+COS(th_R)^4)</f>
        <v/>
      </c>
      <c r="C14" s="18">
        <f>(A_11+A_22-4*A_66)*SIN(th_L)^2*COS(th_L)^2+A_12*(SIN(th_L)^4+COS(th_L)^4)</f>
        <v/>
      </c>
      <c r="D14" s="10" t="inlineStr">
        <is>
          <t>N/mm</t>
        </is>
      </c>
    </row>
    <row r="15">
      <c r="A15" s="8" t="inlineStr">
        <is>
          <t>A66</t>
        </is>
      </c>
      <c r="B15" s="18">
        <f>(A_11+A_22-2*A_12-2*A_66)*SIN(th_R)^2*COS(th_R)^2+A_66*(SIN(th_R)^4+COS(th_R)^4)</f>
        <v/>
      </c>
      <c r="C15" s="18">
        <f>(A_11+A_22-2*A_12-2*A_66)*SIN(th_L)^2*COS(th_L)^2+A_66*(SIN(th_L)^4+COS(th_L)^4)</f>
        <v/>
      </c>
      <c r="D15" s="10" t="inlineStr">
        <is>
          <t>N/mm</t>
        </is>
      </c>
    </row>
    <row r="16">
      <c r="A16" s="8" t="inlineStr">
        <is>
          <t>A16</t>
        </is>
      </c>
      <c r="B16" s="18">
        <f>(A_11-A_12-2*A_66)*SIN(th_R)*COS(th_R)^3+(A_12-A_22+2*A_66)*SIN(th_R)^3*COS(th_R)</f>
        <v/>
      </c>
      <c r="C16" s="18">
        <f>(A_11-A_12-2*A_66)*SIN(th_L)*COS(th_L)^3+(A_12-A_22+2*A_66)*SIN(th_L)^3*COS(th_L)</f>
        <v/>
      </c>
      <c r="D16" s="10" t="inlineStr">
        <is>
          <t>N/mm</t>
        </is>
      </c>
    </row>
    <row r="17">
      <c r="A17" s="8" t="inlineStr">
        <is>
          <t>A26</t>
        </is>
      </c>
      <c r="B17" s="18">
        <f>(A_11-A_12-2*A_66)*SIN(th_R)^3*COS(th_R)+(A_12-A_22+2*A_66)*SIN(th_R)*COS(th_R)^3</f>
        <v/>
      </c>
      <c r="C17" s="18">
        <f>(A_11-A_12-2*A_66)*SIN(th_L)^3*COS(th_L)+(A_12-A_22+2*A_66)*SIN(th_L)*COS(th_L)^3</f>
        <v/>
      </c>
      <c r="D17" s="10" t="inlineStr">
        <is>
          <t>N/mm</t>
        </is>
      </c>
    </row>
    <row r="18">
      <c r="A18" s="8" t="inlineStr">
        <is>
          <t>D11</t>
        </is>
      </c>
      <c r="B18" s="18">
        <f>D_11*COS(th_R)^4+2*(D_12+2*D_66)*SIN(th_R)^2*COS(th_R)^2+D_22*SIN(th_R)^4</f>
        <v/>
      </c>
      <c r="C18" s="18">
        <f>D_11*COS(th_L)^4+2*(D_12+2*D_66)*SIN(th_L)^2*COS(th_L)^2+D_22*SIN(th_L)^4</f>
        <v/>
      </c>
      <c r="D18" s="10" t="inlineStr">
        <is>
          <t>N·mm</t>
        </is>
      </c>
    </row>
    <row r="19">
      <c r="A19" s="8" t="inlineStr">
        <is>
          <t>D22</t>
        </is>
      </c>
      <c r="B19" s="18">
        <f>D_11*SIN(th_R)^4+2*(D_12+2*D_66)*SIN(th_R)^2*COS(th_R)^2+D_22*COS(th_R)^4</f>
        <v/>
      </c>
      <c r="C19" s="18">
        <f>D_11*SIN(th_L)^4+2*(D_12+2*D_66)*SIN(th_L)^2*COS(th_L)^2+D_22*COS(th_L)^4</f>
        <v/>
      </c>
      <c r="D19" s="10" t="inlineStr">
        <is>
          <t>N·mm</t>
        </is>
      </c>
    </row>
    <row r="20">
      <c r="A20" s="8" t="inlineStr">
        <is>
          <t>D12</t>
        </is>
      </c>
      <c r="B20" s="18">
        <f>(D_11+D_22-4*D_66)*SIN(th_R)^2*COS(th_R)^2+D_12*(SIN(th_R)^4+COS(th_R)^4)</f>
        <v/>
      </c>
      <c r="C20" s="18">
        <f>(D_11+D_22-4*D_66)*SIN(th_L)^2*COS(th_L)^2+D_12*(SIN(th_L)^4+COS(th_L)^4)</f>
        <v/>
      </c>
      <c r="D20" s="10" t="inlineStr">
        <is>
          <t>N·mm</t>
        </is>
      </c>
    </row>
    <row r="21">
      <c r="A21" s="8" t="inlineStr">
        <is>
          <t>D66</t>
        </is>
      </c>
      <c r="B21" s="18">
        <f>(D_11+D_22-2*D_12-2*D_66)*SIN(th_R)^2*COS(th_R)^2+D_66*(SIN(th_R)^4+COS(th_R)^4)</f>
        <v/>
      </c>
      <c r="C21" s="18">
        <f>(D_11+D_22-2*D_12-2*D_66)*SIN(th_L)^2*COS(th_L)^2+D_66*(SIN(th_L)^4+COS(th_L)^4)</f>
        <v/>
      </c>
      <c r="D21" s="10" t="inlineStr">
        <is>
          <t>N·mm</t>
        </is>
      </c>
    </row>
    <row r="22">
      <c r="A22" s="8" t="inlineStr">
        <is>
          <t>D16</t>
        </is>
      </c>
      <c r="B22" s="18">
        <f>(D_11-D_12-2*D_66)*SIN(th_R)*COS(th_R)^3+(D_12-D_22+2*D_66)*SIN(th_R)^3*COS(th_R)</f>
        <v/>
      </c>
      <c r="C22" s="18">
        <f>(D_11-D_12-2*D_66)*SIN(th_L)*COS(th_L)^3+(D_12-D_22+2*D_66)*SIN(th_L)^3*COS(th_L)</f>
        <v/>
      </c>
      <c r="D22" s="10" t="inlineStr">
        <is>
          <t>N·mm</t>
        </is>
      </c>
    </row>
    <row r="23">
      <c r="A23" s="8" t="inlineStr">
        <is>
          <t>D26</t>
        </is>
      </c>
      <c r="B23" s="18">
        <f>(D_11-D_12-2*D_66)*SIN(th_R)^3*COS(th_R)+(D_12-D_22+2*D_66)*SIN(th_R)*COS(th_R)^3</f>
        <v/>
      </c>
      <c r="C23" s="18">
        <f>(D_11-D_12-2*D_66)*SIN(th_L)^3*COS(th_L)+(D_12-D_22+2*D_66)*SIN(th_L)*COS(th_L)^3</f>
        <v/>
      </c>
      <c r="D23" s="10" t="inlineStr">
        <is>
          <t>N·mm</t>
        </is>
      </c>
    </row>
    <row r="25">
      <c r="A25" s="6" t="inlineStr">
        <is>
          <t>횡전단·질량 (Mindlin 쉘 보조량, docs/09 §2 항 5–6)</t>
        </is>
      </c>
      <c r="B25" s="6" t="n"/>
      <c r="C25" s="6" t="n"/>
      <c r="D25" s="6" t="n"/>
    </row>
    <row r="26">
      <c r="A26" s="7" t="inlineStr">
        <is>
          <t>항목</t>
        </is>
      </c>
      <c r="B26" s="7" t="inlineStr">
        <is>
          <t>값</t>
        </is>
      </c>
      <c r="C26" s="7" t="inlineStr">
        <is>
          <t>단위</t>
        </is>
      </c>
      <c r="D26" s="7" t="inlineStr">
        <is>
          <t>비고 / 수식 근거</t>
        </is>
      </c>
    </row>
    <row r="27">
      <c r="A27" s="8" t="inlineStr">
        <is>
          <t>횡전단 E11 = E22 = (5/6) G h λ</t>
        </is>
      </c>
      <c r="B27" s="18">
        <f>5/6*G_*h_calc*lam</f>
        <v/>
      </c>
      <c r="C27" s="8" t="inlineStr">
        <is>
          <t>N/mm</t>
        </is>
      </c>
      <c r="D27" s="10" t="inlineStr">
        <is>
          <t>1차 추정 — E단계 ×0.1/×10 감도 확인</t>
        </is>
      </c>
    </row>
    <row r="28">
      <c r="A28" s="8" t="inlineStr">
        <is>
          <t>단위두께 가정 밀도 = ρ h λ</t>
        </is>
      </c>
      <c r="B28" s="16">
        <f>in_rho*h_calc*lam</f>
        <v/>
      </c>
      <c r="C28" s="8" t="inlineStr">
        <is>
          <t>tonne/mm²</t>
        </is>
      </c>
      <c r="D28" s="10" t="inlineStr">
        <is>
          <t>SSPM</t>
        </is>
      </c>
    </row>
    <row r="30">
      <c r="A30" s="6" t="inlineStr">
        <is>
          <t>ANSYS APDL 문자열 (복사용; 인자 순서 SSPA/SSPD: 11,21,31,22,32,33 — 3 = xy; 판축 요소좌표계)</t>
        </is>
      </c>
      <c r="B30" s="6" t="n"/>
      <c r="C30" s="6" t="n"/>
      <c r="D30" s="6" t="n"/>
    </row>
    <row r="31">
      <c r="A31" s="7" t="inlineStr">
        <is>
          <t>항목</t>
        </is>
      </c>
      <c r="B31" s="7" t="inlineStr">
        <is>
          <t>값</t>
        </is>
      </c>
      <c r="C31" s="7" t="inlineStr">
        <is>
          <t>단위</t>
        </is>
      </c>
      <c r="D31" s="7" t="inlineStr">
        <is>
          <t>비고 / 수식 근거</t>
        </is>
      </c>
    </row>
    <row r="32">
      <c r="A32" s="8" t="inlineStr">
        <is>
          <t>우측 SECTYPE</t>
        </is>
      </c>
      <c r="B32" s="8">
        <f>"SECTYPE,11,GENS,,SPHX_R   ! zone R, theta = -beta, element CS = plate axes"</f>
        <v/>
      </c>
      <c r="C32" s="8" t="inlineStr"/>
      <c r="D32" s="10" t="inlineStr"/>
    </row>
    <row r="33">
      <c r="A33" s="8" t="inlineStr">
        <is>
          <t>우측 SSPA</t>
        </is>
      </c>
      <c r="B33" s="8">
        <f>"SSPA,"&amp;TEXT(A_11_R,"0.000000E+00")&amp;","&amp;TEXT(A_12_R,"0.000000E+00")&amp;","&amp;TEXT(A_16_R,"0.000000E+00")&amp;","&amp;TEXT(A_22_R,"0.000000E+00")&amp;","&amp;TEXT(A_26_R,"0.000000E+00")&amp;","&amp;TEXT(A_66_R,"0.000000E+00")</f>
        <v/>
      </c>
      <c r="C33" s="8" t="inlineStr"/>
      <c r="D33" s="10" t="inlineStr">
        <is>
          <t>A11,A21,A31,A22,A32,A33</t>
        </is>
      </c>
    </row>
    <row r="34">
      <c r="A34" s="8" t="inlineStr">
        <is>
          <t>우측 SSPB</t>
        </is>
      </c>
      <c r="B34" s="8">
        <f>"SSPB,0,0,0,0,0,0   ! B = 0 (symmetric section)"</f>
        <v/>
      </c>
      <c r="C34" s="8" t="inlineStr"/>
      <c r="D34" s="10" t="inlineStr"/>
    </row>
    <row r="35">
      <c r="A35" s="8" t="inlineStr">
        <is>
          <t>우측 SSPD</t>
        </is>
      </c>
      <c r="B35" s="8">
        <f>"SSPD,"&amp;TEXT(D_11_R,"0.000000E+00")&amp;","&amp;TEXT(D_12_R,"0.000000E+00")&amp;","&amp;TEXT(D_16_R,"0.000000E+00")&amp;","&amp;TEXT(D_22_R,"0.000000E+00")&amp;","&amp;TEXT(D_26_R,"0.000000E+00")&amp;","&amp;TEXT(D_66_R,"0.000000E+00")&amp;"   ! D33/16/26 twist convention: verify (E-1)"</f>
        <v/>
      </c>
      <c r="C35" s="8" t="inlineStr"/>
      <c r="D35" s="10" t="inlineStr">
        <is>
          <t>D11,D21,D31,D22,D32,D33</t>
        </is>
      </c>
    </row>
    <row r="36">
      <c r="A36" s="8" t="inlineStr">
        <is>
          <t>우측 SSPE</t>
        </is>
      </c>
      <c r="B36" s="8">
        <f>"SSPE,"&amp;TEXT(E_ts,"0.000000E+00")&amp;",0,"&amp;TEXT(E_ts,"0.000000E+00")&amp;"   ! transverse shear estimate"</f>
        <v/>
      </c>
      <c r="C36" s="8" t="inlineStr"/>
      <c r="D36" s="10" t="inlineStr"/>
    </row>
    <row r="37">
      <c r="A37" s="8" t="inlineStr">
        <is>
          <t>우측 SSPM</t>
        </is>
      </c>
      <c r="B37" s="8">
        <f>"SSPM,"&amp;TEXT(dens_a,"0.000000E+00")&amp;"   ! density assuming unit thickness = rho*h*lambda"</f>
        <v/>
      </c>
      <c r="C37" s="8" t="inlineStr"/>
      <c r="D37" s="10" t="inlineStr"/>
    </row>
    <row r="39">
      <c r="A39" s="8" t="inlineStr">
        <is>
          <t>좌측 SECTYPE</t>
        </is>
      </c>
      <c r="B39" s="8">
        <f>"SECTYPE,12,GENS,,SPHX_L   ! zone L, theta = +beta, element CS = plate axes"</f>
        <v/>
      </c>
      <c r="C39" s="8" t="inlineStr"/>
      <c r="D39" s="10" t="inlineStr"/>
    </row>
    <row r="40">
      <c r="A40" s="8" t="inlineStr">
        <is>
          <t>좌측 SSPA</t>
        </is>
      </c>
      <c r="B40" s="8">
        <f>"SSPA,"&amp;TEXT(A_11_L,"0.000000E+00")&amp;","&amp;TEXT(A_12_L,"0.000000E+00")&amp;","&amp;TEXT(A_16_L,"0.000000E+00")&amp;","&amp;TEXT(A_22_L,"0.000000E+00")&amp;","&amp;TEXT(A_26_L,"0.000000E+00")&amp;","&amp;TEXT(A_66_L,"0.000000E+00")</f>
        <v/>
      </c>
      <c r="C40" s="8" t="inlineStr"/>
      <c r="D40" s="10" t="inlineStr">
        <is>
          <t>A11,A21,A31,A22,A32,A33</t>
        </is>
      </c>
    </row>
    <row r="41">
      <c r="A41" s="8" t="inlineStr">
        <is>
          <t>좌측 SSPB</t>
        </is>
      </c>
      <c r="B41" s="8">
        <f>"SSPB,0,0,0,0,0,0   ! B = 0 (symmetric section)"</f>
        <v/>
      </c>
      <c r="C41" s="8" t="inlineStr"/>
      <c r="D41" s="10" t="inlineStr"/>
    </row>
    <row r="42">
      <c r="A42" s="8" t="inlineStr">
        <is>
          <t>좌측 SSPD</t>
        </is>
      </c>
      <c r="B42" s="8">
        <f>"SSPD,"&amp;TEXT(D_11_L,"0.000000E+00")&amp;","&amp;TEXT(D_12_L,"0.000000E+00")&amp;","&amp;TEXT(D_16_L,"0.000000E+00")&amp;","&amp;TEXT(D_22_L,"0.000000E+00")&amp;","&amp;TEXT(D_26_L,"0.000000E+00")&amp;","&amp;TEXT(D_66_L,"0.000000E+00")&amp;"   ! D33/16/26 twist convention: verify (E-1)"</f>
        <v/>
      </c>
      <c r="C42" s="8" t="inlineStr"/>
      <c r="D42" s="10" t="inlineStr">
        <is>
          <t>D11,D21,D31,D22,D32,D33</t>
        </is>
      </c>
    </row>
    <row r="43">
      <c r="A43" s="8" t="inlineStr">
        <is>
          <t>좌측 SSPE</t>
        </is>
      </c>
      <c r="B43" s="8">
        <f>"SSPE,"&amp;TEXT(E_ts,"0.000000E+00")&amp;",0,"&amp;TEXT(E_ts,"0.000000E+00")&amp;"   ! transverse shear estimate"</f>
        <v/>
      </c>
      <c r="C43" s="8" t="inlineStr"/>
      <c r="D43" s="10" t="inlineStr"/>
    </row>
    <row r="44">
      <c r="A44" s="8" t="inlineStr">
        <is>
          <t>좌측 SSPM</t>
        </is>
      </c>
      <c r="B44" s="8">
        <f>"SSPM,"&amp;TEXT(dens_a,"0.000000E+00")&amp;"   ! density assuming unit thickness = rho*h*lambda"</f>
        <v/>
      </c>
      <c r="C44" s="8" t="inlineStr"/>
      <c r="D44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90" customWidth="1" min="4" max="4"/>
    <col width="16" customWidth="1" min="5" max="5"/>
    <col width="16" customWidth="1" min="6" max="6"/>
  </cols>
  <sheetData>
    <row r="1">
      <c r="A1" s="1" t="inlineStr">
        <is>
          <t>하중 케이스 → 국부축 합력 → VAM 복원 (Ye 2014 Eq. 14, 20; docs/09 §3) — 산·골 응력과 판정</t>
        </is>
      </c>
    </row>
    <row r="4">
      <c r="A4" s="6" t="inlineStr">
        <is>
          <t>하중 케이스 합력 → 국부축 (transform.resultants_to_local, T_σ)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θ (plate 축일 때)</t>
        </is>
      </c>
      <c r="B6" s="8">
        <f>IF(lc_axes="plate",IF(lc_zone="right",-beta,beta),0)</f>
        <v/>
      </c>
      <c r="C6" s="8" t="inlineStr">
        <is>
          <t>rad</t>
        </is>
      </c>
      <c r="D6" s="10" t="inlineStr">
        <is>
          <t>local 축이면 0 (변환 없음)</t>
        </is>
      </c>
    </row>
    <row r="7">
      <c r="A7" s="8" t="inlineStr">
        <is>
          <t>m = cosθ</t>
        </is>
      </c>
      <c r="B7" s="8">
        <f>COS(th_lc)</f>
        <v/>
      </c>
      <c r="C7" s="8" t="inlineStr"/>
      <c r="D7" s="10" t="inlineStr"/>
    </row>
    <row r="8">
      <c r="A8" s="8" t="inlineStr">
        <is>
          <t>n = sinθ</t>
        </is>
      </c>
      <c r="B8" s="8">
        <f>SIN(th_lc)</f>
        <v/>
      </c>
      <c r="C8" s="8" t="inlineStr"/>
      <c r="D8" s="10" t="inlineStr"/>
    </row>
    <row r="9">
      <c r="A9" s="8" t="inlineStr">
        <is>
          <t>N_x (국부)</t>
        </is>
      </c>
      <c r="B9" s="15">
        <f>lc_Nx*mm_^2+lc_Ny*nn_^2+2*lc_Nxy*mm_*nn_</f>
        <v/>
      </c>
      <c r="C9" s="8" t="inlineStr">
        <is>
          <t>N/mm</t>
        </is>
      </c>
      <c r="D9" s="10" t="inlineStr">
        <is>
          <t>T_σ 1행: m², n², 2mn</t>
        </is>
      </c>
    </row>
    <row r="10">
      <c r="A10" s="8" t="inlineStr">
        <is>
          <t>N_y (국부)</t>
        </is>
      </c>
      <c r="B10" s="15">
        <f>lc_Nx*nn_^2+lc_Ny*mm_^2-2*lc_Nxy*mm_*nn_</f>
        <v/>
      </c>
      <c r="C10" s="8" t="inlineStr">
        <is>
          <t>N/mm</t>
        </is>
      </c>
      <c r="D10" s="10" t="inlineStr">
        <is>
          <t>n², m², −2mn</t>
        </is>
      </c>
    </row>
    <row r="11">
      <c r="A11" s="8" t="inlineStr">
        <is>
          <t>N_xy (국부)</t>
        </is>
      </c>
      <c r="B11" s="15">
        <f>-lc_Nx*mm_*nn_+lc_Ny*mm_*nn_+lc_Nxy*(mm_^2-nn_^2)</f>
        <v/>
      </c>
      <c r="C11" s="8" t="inlineStr">
        <is>
          <t>N/mm</t>
        </is>
      </c>
      <c r="D11" s="10" t="inlineStr">
        <is>
          <t>−mn, mn, m²−n²</t>
        </is>
      </c>
    </row>
    <row r="12">
      <c r="A12" s="8" t="inlineStr">
        <is>
          <t>M_x (국부)</t>
        </is>
      </c>
      <c r="B12" s="15">
        <f>lc_Mx*mm_^2+lc_My*nn_^2+2*lc_Mxy*mm_*nn_</f>
        <v/>
      </c>
      <c r="C12" s="8" t="inlineStr">
        <is>
          <t>N·mm/mm</t>
        </is>
      </c>
      <c r="D12" s="10" t="inlineStr"/>
    </row>
    <row r="13">
      <c r="A13" s="8" t="inlineStr">
        <is>
          <t>M_y (국부)</t>
        </is>
      </c>
      <c r="B13" s="15">
        <f>lc_Mx*nn_^2+lc_My*mm_^2-2*lc_Mxy*mm_*nn_</f>
        <v/>
      </c>
      <c r="C13" s="8" t="inlineStr">
        <is>
          <t>N·mm/mm</t>
        </is>
      </c>
      <c r="D13" s="10" t="inlineStr"/>
    </row>
    <row r="14">
      <c r="A14" s="8" t="inlineStr">
        <is>
          <t>M_xy (국부)</t>
        </is>
      </c>
      <c r="B14" s="15">
        <f>-lc_Mx*mm_*nn_+lc_My*mm_*nn_+lc_Mxy*(mm_^2-nn_^2)</f>
        <v/>
      </c>
      <c r="C14" s="8" t="inlineStr">
        <is>
          <t>N·mm/mm</t>
        </is>
      </c>
      <c r="D14" s="10" t="inlineStr"/>
    </row>
    <row r="16">
      <c r="A16" s="6" t="inlineStr">
        <is>
          <t>거시 변형률 (채택식 역행렬)</t>
        </is>
      </c>
      <c r="B16" s="6" t="n"/>
      <c r="C16" s="6" t="n"/>
      <c r="D16" s="6" t="n"/>
    </row>
    <row r="17">
      <c r="A17" s="7" t="inlineStr">
        <is>
          <t>항목</t>
        </is>
      </c>
      <c r="B17" s="7" t="inlineStr">
        <is>
          <t>값</t>
        </is>
      </c>
      <c r="C17" s="7" t="inlineStr">
        <is>
          <t>단위</t>
        </is>
      </c>
      <c r="D17" s="7" t="inlineStr">
        <is>
          <t>비고 / 수식 근거</t>
        </is>
      </c>
    </row>
    <row r="18">
      <c r="A18" s="8" t="inlineStr">
        <is>
          <t>det A (11,22 블록)</t>
        </is>
      </c>
      <c r="B18" s="18">
        <f>A_11*A_22-A_12^2</f>
        <v/>
      </c>
      <c r="C18" s="8" t="inlineStr"/>
      <c r="D18" s="10" t="inlineStr"/>
    </row>
    <row r="19">
      <c r="A19" s="8" t="inlineStr">
        <is>
          <t>ε_xx</t>
        </is>
      </c>
      <c r="B19" s="16">
        <f>(A_22*Nx-A_12*Ny)/detA</f>
        <v/>
      </c>
      <c r="C19" s="8" t="inlineStr"/>
      <c r="D19" s="10" t="inlineStr"/>
    </row>
    <row r="20">
      <c r="A20" s="8" t="inlineStr">
        <is>
          <t>ε_yy</t>
        </is>
      </c>
      <c r="B20" s="16">
        <f>(-A_12*Nx+A_11*Ny)/detA</f>
        <v/>
      </c>
      <c r="C20" s="8" t="inlineStr"/>
      <c r="D20" s="10" t="inlineStr"/>
    </row>
    <row r="21">
      <c r="A21" s="8" t="inlineStr">
        <is>
          <t>γ_xy = 2ε_xy</t>
        </is>
      </c>
      <c r="B21" s="16">
        <f>Nxy/A_66</f>
        <v/>
      </c>
      <c r="C21" s="8" t="inlineStr"/>
      <c r="D21" s="10" t="inlineStr"/>
    </row>
    <row r="22">
      <c r="A22" s="8" t="inlineStr">
        <is>
          <t>det D (11,22 블록)</t>
        </is>
      </c>
      <c r="B22" s="18">
        <f>D_11*D_22-D_12^2</f>
        <v/>
      </c>
      <c r="C22" s="8" t="inlineStr"/>
      <c r="D22" s="10" t="inlineStr"/>
    </row>
    <row r="23">
      <c r="A23" s="8" t="inlineStr">
        <is>
          <t>κ_xx</t>
        </is>
      </c>
      <c r="B23" s="16">
        <f>(D_22*Mx-D_12*My)/detD</f>
        <v/>
      </c>
      <c r="C23" s="8" t="inlineStr">
        <is>
          <t>1/mm</t>
        </is>
      </c>
      <c r="D23" s="10" t="inlineStr"/>
    </row>
    <row r="24">
      <c r="A24" s="8" t="inlineStr">
        <is>
          <t>κ_yy</t>
        </is>
      </c>
      <c r="B24" s="16">
        <f>(-D_12*Mx+D_11*My)/detD</f>
        <v/>
      </c>
      <c r="C24" s="8" t="inlineStr">
        <is>
          <t>1/mm</t>
        </is>
      </c>
      <c r="D24" s="10" t="inlineStr"/>
    </row>
    <row r="25">
      <c r="A25" s="8" t="inlineStr">
        <is>
          <t>κ_xy (텐서)</t>
        </is>
      </c>
      <c r="B25" s="16">
        <f>Mxy/(2*D_66)</f>
        <v/>
      </c>
      <c r="C25" s="8" t="inlineStr">
        <is>
          <t>1/mm</t>
        </is>
      </c>
      <c r="D25" s="10" t="inlineStr">
        <is>
          <t>M_xy = D66·2κ_xy</t>
        </is>
      </c>
    </row>
    <row r="27">
      <c r="A27" s="6" t="inlineStr">
        <is>
          <t>VAM 복원 상수 (대칭 단면)</t>
        </is>
      </c>
      <c r="B27" s="6" t="n"/>
      <c r="C27" s="6" t="n"/>
      <c r="D27" s="6" t="n"/>
    </row>
    <row r="28">
      <c r="A28" s="7" t="inlineStr">
        <is>
          <t>항목</t>
        </is>
      </c>
      <c r="B28" s="7" t="inlineStr">
        <is>
          <t>값</t>
        </is>
      </c>
      <c r="C28" s="7" t="inlineStr">
        <is>
          <t>단위</t>
        </is>
      </c>
      <c r="D28" s="7" t="inlineStr">
        <is>
          <t>비고 / 수식 근거</t>
        </is>
      </c>
    </row>
    <row r="29">
      <c r="A29" s="8" t="inlineStr">
        <is>
          <t>𝒞 = −(12J2/h² + J1)</t>
        </is>
      </c>
      <c r="B29" s="15">
        <f>-(12*J_2/h_calc^2+J_1)</f>
        <v/>
      </c>
      <c r="C29" s="8" t="inlineStr"/>
      <c r="D29" s="10" t="inlineStr"/>
    </row>
    <row r="30">
      <c r="A30" s="8" t="inlineStr">
        <is>
          <t>c1 = −(ε_xx + ν ε_yy)/𝒞</t>
        </is>
      </c>
      <c r="B30" s="16">
        <f>-(exx+nu_*eyy)/CC</f>
        <v/>
      </c>
      <c r="C30" s="8" t="inlineStr"/>
      <c r="D30" s="10" t="inlineStr"/>
    </row>
    <row r="31">
      <c r="A31" s="8" t="inlineStr">
        <is>
          <t>c4 = (κ_xx + ν κ_yy)/λ</t>
        </is>
      </c>
      <c r="B31" s="16">
        <f>(kxx+nu_*kyy)/lam</f>
        <v/>
      </c>
      <c r="C31" s="8" t="inlineStr">
        <is>
          <t>1/mm</t>
        </is>
      </c>
      <c r="D31" s="10" t="inlineStr"/>
    </row>
    <row r="32">
      <c r="A32" s="8" t="inlineStr">
        <is>
          <t>c_h(산) = 1 + h²/(48R_c²)</t>
        </is>
      </c>
      <c r="B32" s="8">
        <f>1+h_calc^2/(48*Rc^2)</f>
        <v/>
      </c>
      <c r="C32" s="8" t="inlineStr"/>
      <c r="D32" s="10" t="inlineStr">
        <is>
          <t>두께 보정</t>
        </is>
      </c>
    </row>
    <row r="33">
      <c r="A33" s="8" t="inlineStr">
        <is>
          <t>c_h(골) = 1 + h²/(48R_v²)</t>
        </is>
      </c>
      <c r="B33" s="8">
        <f>1+h_calc^2/(48*Rv^2)</f>
        <v/>
      </c>
      <c r="C33" s="8" t="inlineStr"/>
      <c r="D33" s="10" t="inlineStr"/>
    </row>
    <row r="34">
      <c r="A34" s="8" t="inlineStr">
        <is>
          <t>⟨√a/c_h⟩·2c = 2R_cα/c_h,c + 2T_L + 2R_vα/c_h,v</t>
        </is>
      </c>
      <c r="B34" s="8">
        <f>2*Rc*alpha/ch_c+2*TL+2*Rv*alpha/ch_v</f>
        <v/>
      </c>
      <c r="C34" s="8" t="inlineStr">
        <is>
          <t>mm</t>
        </is>
      </c>
      <c r="D34" s="10" t="inlineStr">
        <is>
          <t>1주기 적분</t>
        </is>
      </c>
    </row>
    <row r="35">
      <c r="A35" s="8" t="inlineStr">
        <is>
          <t>α1 = 2c / 위</t>
        </is>
      </c>
      <c r="B35" s="8">
        <f>2*c_/inva1</f>
        <v/>
      </c>
      <c r="C35" s="8" t="inlineStr"/>
      <c r="D35" s="10" t="inlineStr"/>
    </row>
    <row r="36">
      <c r="A36" s="8" t="inlineStr">
        <is>
          <t>c2 = α1 γ_xy</t>
        </is>
      </c>
      <c r="B36" s="16">
        <f>alpha1*gxy</f>
        <v/>
      </c>
      <c r="C36" s="8" t="inlineStr"/>
      <c r="D36" s="10" t="inlineStr"/>
    </row>
    <row r="38">
      <c r="A38" s="6" t="inlineStr">
        <is>
          <t>산(crest, z=+f, κ=−1/R_c) 과 골(valley, z=−f, κ=+1/R_v) 의 물리 변형률 (√a = 1)</t>
        </is>
      </c>
      <c r="B38" s="6" t="n"/>
      <c r="C38" s="6" t="n"/>
      <c r="D38" s="6" t="n"/>
    </row>
    <row r="39">
      <c r="A39" s="7" t="inlineStr">
        <is>
          <t>항목</t>
        </is>
      </c>
      <c r="B39" s="7" t="inlineStr">
        <is>
          <t>값</t>
        </is>
      </c>
      <c r="C39" s="7" t="inlineStr">
        <is>
          <t>단위</t>
        </is>
      </c>
      <c r="D39" s="7" t="inlineStr">
        <is>
          <t>비고 / 수식 근거</t>
        </is>
      </c>
    </row>
    <row r="40">
      <c r="A40" s="7" t="inlineStr">
        <is>
          <t>량</t>
        </is>
      </c>
      <c r="B40" s="7" t="inlineStr">
        <is>
          <t>산 (crest)</t>
        </is>
      </c>
      <c r="C40" s="7" t="inlineStr">
        <is>
          <t>골 (valley)</t>
        </is>
      </c>
      <c r="D40" s="7" t="inlineStr">
        <is>
          <t>식</t>
        </is>
      </c>
    </row>
    <row r="41">
      <c r="A41" s="8" t="inlineStr">
        <is>
          <t>ε_s</t>
        </is>
      </c>
      <c r="B41" s="16">
        <f>c_1-nu_*(eyy+f_*kyy)</f>
        <v/>
      </c>
      <c r="C41" s="16">
        <f>c_1-nu_*(eyy-f_*kyy)</f>
        <v/>
      </c>
      <c r="D41" s="10" t="inlineStr">
        <is>
          <t>γ11/a = c1√a − νa(ε_yy + zκ_yy)</t>
        </is>
      </c>
    </row>
    <row r="42">
      <c r="A42" s="8" t="inlineStr">
        <is>
          <t>ε_y</t>
        </is>
      </c>
      <c r="B42" s="16">
        <f>eyy+f_*kyy</f>
        <v/>
      </c>
      <c r="C42" s="16">
        <f>eyy-f_*kyy</f>
        <v/>
      </c>
      <c r="D42" s="10" t="inlineStr">
        <is>
          <t>γ22 = ε_yy + zκ_yy</t>
        </is>
      </c>
    </row>
    <row r="43">
      <c r="A43" s="8" t="inlineStr">
        <is>
          <t>γ_sy</t>
        </is>
      </c>
      <c r="B43" s="16">
        <f>(c_2+h_calc^2*kxy/(12*Rc))/ch_c</f>
        <v/>
      </c>
      <c r="C43" s="16">
        <f>(c_2-h_calc^2*kxy/(12*Rv))/ch_v</f>
        <v/>
      </c>
      <c r="D43" s="10" t="inlineStr">
        <is>
          <t>2γ12/√a = (√a c2 − h² z'' κ_xy/(12a))/c_h,  z''=∓1/R</t>
        </is>
      </c>
    </row>
    <row r="44">
      <c r="A44" s="8" t="inlineStr">
        <is>
          <t>κ_s</t>
        </is>
      </c>
      <c r="B44" s="16">
        <f>12*c_1*f_/h_calc^2+c_4-nu_*kyy</f>
        <v/>
      </c>
      <c r="C44" s="16">
        <f>-12*c_1*f_/h_calc^2+c_4-nu_*kyy</f>
        <v/>
      </c>
      <c r="D44" s="10" t="inlineStr">
        <is>
          <t>ρ11/a = 12c1 z/h² + c4 − νκ_yy/√a</t>
        </is>
      </c>
    </row>
    <row r="45">
      <c r="A45" s="8" t="inlineStr">
        <is>
          <t>κ_y</t>
        </is>
      </c>
      <c r="B45" s="16">
        <f>kyy</f>
        <v/>
      </c>
      <c r="C45" s="16">
        <f>kyy</f>
        <v/>
      </c>
      <c r="D45" s="10" t="inlineStr">
        <is>
          <t>ρ22 = κ_yy/√a</t>
        </is>
      </c>
    </row>
    <row r="46">
      <c r="A46" s="8" t="inlineStr">
        <is>
          <t>2κ_sy</t>
        </is>
      </c>
      <c r="B46" s="16">
        <f>(-2*kxy-c_2/(2*Rc))/ch_c</f>
        <v/>
      </c>
      <c r="C46" s="16">
        <f>(-2*kxy+c_2/(2*Rv))/ch_v</f>
        <v/>
      </c>
      <c r="D46" s="10" t="inlineStr">
        <is>
          <t>2ρ12/√a = (−2√a κ_xy + z'' c2/(2a))/c_h</t>
        </is>
      </c>
    </row>
    <row r="48">
      <c r="A48" s="6" t="inlineStr">
        <is>
          <t>표면 응력 (+z 면: ζ = +h/2, −z 면: ζ = −h/2 — 판의 산 쪽 표면이 +z;  e = ε − ζκ;  평면응력)  [MPa]  → Input [그림 4]</t>
        </is>
      </c>
      <c r="B48" s="6" t="n"/>
      <c r="C48" s="6" t="n"/>
      <c r="D48" s="6" t="n"/>
    </row>
    <row r="49">
      <c r="A49" s="7" t="inlineStr">
        <is>
          <t>항목</t>
        </is>
      </c>
      <c r="B49" s="7" t="inlineStr">
        <is>
          <t>값</t>
        </is>
      </c>
      <c r="C49" s="7" t="inlineStr">
        <is>
          <t>단위</t>
        </is>
      </c>
      <c r="D49" s="7" t="inlineStr">
        <is>
          <t>비고 / 수식 근거</t>
        </is>
      </c>
    </row>
    <row r="50">
      <c r="A50" s="7" t="inlineStr">
        <is>
          <t>량</t>
        </is>
      </c>
      <c r="B50" s="7" t="inlineStr">
        <is>
          <t>산 +z면</t>
        </is>
      </c>
      <c r="C50" s="7" t="inlineStr">
        <is>
          <t>산 −z면</t>
        </is>
      </c>
      <c r="D50" s="7" t="inlineStr">
        <is>
          <t>골 +z면</t>
        </is>
      </c>
      <c r="E50" s="7" t="inlineStr">
        <is>
          <t>골 −z면</t>
        </is>
      </c>
      <c r="F50" s="7" t="inlineStr">
        <is>
          <t>식</t>
        </is>
      </c>
    </row>
    <row r="51">
      <c r="A51" s="8" t="inlineStr">
        <is>
          <t>e_s</t>
        </is>
      </c>
      <c r="B51" s="16">
        <f>eps_s_c-(+h_calc/2)*kap_s_c</f>
        <v/>
      </c>
      <c r="C51" s="16">
        <f>eps_s_c-(-h_calc/2)*kap_s_c</f>
        <v/>
      </c>
      <c r="D51" s="16">
        <f>eps_s_v-(+h_calc/2)*kap_s_v</f>
        <v/>
      </c>
      <c r="E51" s="16">
        <f>eps_s_v-(-h_calc/2)*kap_s_v</f>
        <v/>
      </c>
      <c r="F51" s="10" t="inlineStr">
        <is>
          <t>ε_s − ζκ_s</t>
        </is>
      </c>
    </row>
    <row r="52">
      <c r="A52" s="8" t="inlineStr">
        <is>
          <t>e_y</t>
        </is>
      </c>
      <c r="B52" s="16">
        <f>eps_y_c-(+h_calc/2)*kap_y_c</f>
        <v/>
      </c>
      <c r="C52" s="16">
        <f>eps_y_c-(-h_calc/2)*kap_y_c</f>
        <v/>
      </c>
      <c r="D52" s="16">
        <f>eps_y_v-(+h_calc/2)*kap_y_v</f>
        <v/>
      </c>
      <c r="E52" s="16">
        <f>eps_y_v-(-h_calc/2)*kap_y_v</f>
        <v/>
      </c>
      <c r="F52" s="10" t="inlineStr">
        <is>
          <t>ε_y − ζκ_y</t>
        </is>
      </c>
    </row>
    <row r="53">
      <c r="A53" s="8" t="inlineStr">
        <is>
          <t>e_sy (공학)</t>
        </is>
      </c>
      <c r="B53" s="16">
        <f>gam_sy_c-(+h_calc/2)*kap_sy2_c</f>
        <v/>
      </c>
      <c r="C53" s="16">
        <f>gam_sy_c-(-h_calc/2)*kap_sy2_c</f>
        <v/>
      </c>
      <c r="D53" s="16">
        <f>gam_sy_v-(+h_calc/2)*kap_sy2_v</f>
        <v/>
      </c>
      <c r="E53" s="16">
        <f>gam_sy_v-(-h_calc/2)*kap_sy2_v</f>
        <v/>
      </c>
      <c r="F53" s="10" t="inlineStr">
        <is>
          <t>γ_sy − ζ·2κ_sy</t>
        </is>
      </c>
    </row>
    <row r="54">
      <c r="A54" s="8" t="inlineStr">
        <is>
          <t>σ_s</t>
        </is>
      </c>
      <c r="B54" s="18">
        <f>Q_*($B$51+nu_*$B$52)</f>
        <v/>
      </c>
      <c r="C54" s="18">
        <f>Q_*($C$51+nu_*$C$52)</f>
        <v/>
      </c>
      <c r="D54" s="18">
        <f>Q_*($D$51+nu_*$D$52)</f>
        <v/>
      </c>
      <c r="E54" s="18">
        <f>Q_*($E$51+nu_*$E$52)</f>
        <v/>
      </c>
      <c r="F54" s="10" t="inlineStr">
        <is>
          <t>Q (e_s + ν e_y)</t>
        </is>
      </c>
    </row>
    <row r="55">
      <c r="A55" s="8" t="inlineStr">
        <is>
          <t>σ_y</t>
        </is>
      </c>
      <c r="B55" s="18">
        <f>Q_*($B$52+nu_*$B$51)</f>
        <v/>
      </c>
      <c r="C55" s="18">
        <f>Q_*($C$52+nu_*$C$51)</f>
        <v/>
      </c>
      <c r="D55" s="18">
        <f>Q_*($D$52+nu_*$D$51)</f>
        <v/>
      </c>
      <c r="E55" s="18">
        <f>Q_*($E$52+nu_*$E$51)</f>
        <v/>
      </c>
      <c r="F55" s="10" t="inlineStr">
        <is>
          <t>Q (e_y + ν e_s)</t>
        </is>
      </c>
    </row>
    <row r="56">
      <c r="A56" s="8" t="inlineStr">
        <is>
          <t>τ_sy</t>
        </is>
      </c>
      <c r="B56" s="18">
        <f>G_*$B$53</f>
        <v/>
      </c>
      <c r="C56" s="18">
        <f>G_*$C$53</f>
        <v/>
      </c>
      <c r="D56" s="18">
        <f>G_*$D$53</f>
        <v/>
      </c>
      <c r="E56" s="18">
        <f>G_*$E$53</f>
        <v/>
      </c>
      <c r="F56" s="10" t="inlineStr">
        <is>
          <t>G e_sy</t>
        </is>
      </c>
    </row>
    <row r="57">
      <c r="A57" s="7" t="inlineStr">
        <is>
          <t>σ_vM</t>
        </is>
      </c>
      <c r="B57" s="19">
        <f>SQRT($B$54^2-$B$54*$B$55+$B$55^2+3*$B$56^2)</f>
        <v/>
      </c>
      <c r="C57" s="19">
        <f>SQRT($C$54^2-$C$54*$C$55+$C$55^2+3*$C$56^2)</f>
        <v/>
      </c>
      <c r="D57" s="19">
        <f>SQRT($D$54^2-$D$54*$D$55+$D$55^2+3*$D$56^2)</f>
        <v/>
      </c>
      <c r="E57" s="19">
        <f>SQRT($E$54^2-$E$54*$E$55+$E$55^2+3*$E$56^2)</f>
        <v/>
      </c>
      <c r="F57" s="10" t="inlineStr">
        <is>
          <t>√(σ_s² − σ_sσ_y + σ_y² + 3τ²)</t>
        </is>
      </c>
    </row>
    <row r="59">
      <c r="A59" s="6" t="inlineStr">
        <is>
          <t>결과 요약·판정</t>
        </is>
      </c>
      <c r="B59" s="6" t="n"/>
      <c r="C59" s="6" t="n"/>
      <c r="D59" s="6" t="n"/>
    </row>
    <row r="60">
      <c r="A60" s="7" t="inlineStr">
        <is>
          <t>항목</t>
        </is>
      </c>
      <c r="B60" s="7" t="inlineStr">
        <is>
          <t>값</t>
        </is>
      </c>
      <c r="C60" s="7" t="inlineStr">
        <is>
          <t>단위</t>
        </is>
      </c>
      <c r="D60" s="7" t="inlineStr">
        <is>
          <t>비고 / 수식 근거</t>
        </is>
      </c>
    </row>
    <row r="61">
      <c r="A61" s="8" t="inlineStr">
        <is>
          <t>최대 von Mises (산·골 4점)</t>
        </is>
      </c>
      <c r="B61" s="18">
        <f>MAX($B$57:$E$57)</f>
        <v/>
      </c>
      <c r="C61" s="8" t="inlineStr">
        <is>
          <t>MPa</t>
        </is>
      </c>
      <c r="D61" s="10" t="inlineStr">
        <is>
          <t>플랭크 분포는 파이썬 전용</t>
        </is>
      </c>
    </row>
    <row r="62">
      <c r="A62" s="8" t="inlineStr">
        <is>
          <t>최대 위치</t>
        </is>
      </c>
      <c r="B62" s="8">
        <f>CHOOSE(MATCH(vm_max,$B$57:$E$57,0),"산 +z면","산 −z면","골 +z면","골 −z면")</f>
        <v/>
      </c>
      <c r="C62" s="8" t="inlineStr"/>
      <c r="D62" s="10" t="inlineStr"/>
    </row>
    <row r="63">
      <c r="A63" s="8" t="inlineStr">
        <is>
          <t>산 막력 N_s = Q h (ε_s + ν ε_y)</t>
        </is>
      </c>
      <c r="B63" s="15">
        <f>Q_*h_calc*(eps_s_c+nu_*eps_y_c)</f>
        <v/>
      </c>
      <c r="C63" s="8" t="inlineStr">
        <is>
          <t>N/mm</t>
        </is>
      </c>
      <c r="D63" s="10" t="inlineStr">
        <is>
          <t>능선 국부 합력</t>
        </is>
      </c>
    </row>
    <row r="64">
      <c r="A64" s="8" t="inlineStr">
        <is>
          <t>산 막력 N_y</t>
        </is>
      </c>
      <c r="B64" s="15">
        <f>Q_*h_calc*(eps_y_c+nu_*eps_s_c)</f>
        <v/>
      </c>
      <c r="C64" s="8" t="inlineStr">
        <is>
          <t>N/mm</t>
        </is>
      </c>
      <c r="D64" s="10" t="inlineStr"/>
    </row>
    <row r="65">
      <c r="A65" s="8" t="inlineStr">
        <is>
          <t>산 모멘트 M_s = Q h³/12 (κ_s + ν κ_y)</t>
        </is>
      </c>
      <c r="B65" s="15">
        <f>Q_*h_calc^3/12*(kap_s_c+nu_*kap_y_c)</f>
        <v/>
      </c>
      <c r="C65" s="8" t="inlineStr">
        <is>
          <t>N·mm/mm</t>
        </is>
      </c>
      <c r="D65" s="10" t="inlineStr"/>
    </row>
    <row r="66">
      <c r="A66" s="8" t="inlineStr">
        <is>
          <t>산 모멘트 M_y</t>
        </is>
      </c>
      <c r="B66" s="15">
        <f>Q_*h_calc^3/12*(kap_y_c+nu_*kap_s_c)</f>
        <v/>
      </c>
      <c r="C66" s="8" t="inlineStr">
        <is>
          <t>N·mm/mm</t>
        </is>
      </c>
      <c r="D66" s="10" t="inlineStr"/>
    </row>
    <row r="67">
      <c r="A67" s="8" t="inlineStr">
        <is>
          <t>산 막 응력 von Mises</t>
        </is>
      </c>
      <c r="B67" s="18">
        <f>SQRT(Ns_c^2-Ns_c*Ny_c+Ny_c^2+3*(G_*h_calc*gam_sy_c)^2)/h_calc</f>
        <v/>
      </c>
      <c r="C67" s="8" t="inlineStr">
        <is>
          <t>MPa</t>
        </is>
      </c>
      <c r="D67" s="10" t="inlineStr">
        <is>
          <t>1차 일반 막응력 판정용</t>
        </is>
      </c>
    </row>
    <row r="68">
      <c r="A68" s="8" t="inlineStr">
        <is>
          <t>허용응력 (케이스 → S_allow)</t>
        </is>
      </c>
      <c r="B68" s="18">
        <f>IF(ISBLANK(lc_allow),IF(ISBLANK(in_Sallow),0,in_Sallow),lc_allow)</f>
        <v/>
      </c>
      <c r="C68" s="8" t="inlineStr">
        <is>
          <t>MPa</t>
        </is>
      </c>
      <c r="D68" s="10" t="inlineStr">
        <is>
          <t>0 이면 판정 생략</t>
        </is>
      </c>
    </row>
    <row r="69">
      <c r="A69" s="8" t="inlineStr">
        <is>
          <t>σ_vM,max / 허용</t>
        </is>
      </c>
      <c r="B69" s="15">
        <f>IF(allow_&gt;0,vm_max/allow_,"-")</f>
        <v/>
      </c>
      <c r="C69" s="8" t="inlineStr"/>
      <c r="D69" s="10" t="inlineStr"/>
    </row>
    <row r="70">
      <c r="A70" s="8" t="inlineStr">
        <is>
          <t>판정</t>
        </is>
      </c>
      <c r="B70" s="8">
        <f>IF(allow_&gt;0,IF(vm_max&lt;=allow_,"OK","NG"),"허용응력 미입력")</f>
        <v/>
      </c>
      <c r="C70" s="8" t="inlineStr"/>
      <c r="D70" s="10" t="inlineStr">
        <is>
          <t>선형 복원 응력 단순 비교. apex·테두리·t/R 보정 미포함</t>
        </is>
      </c>
    </row>
    <row r="71">
      <c r="A71" s="4" t="inlineStr">
        <is>
          <t>특수해 검사: N_x 만 → 산 −z면 σ_s/(N_x/h) = K_t = 1+6f/h ;  κ_yy 만 → 산 N_y = E h f κ_yy (Briassoulis Eq. 12).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13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9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압력차 → 접촉점 격자 위의 판: (A) 주름 단면 곡선 프레임 + (B) 능선 방향 연속보 + (C) 접촉 Hertz (docs/12)</t>
        </is>
      </c>
    </row>
    <row r="4">
      <c r="A4" s="6" t="inlineStr">
        <is>
          <t>입력 (Input 시트)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값</t>
        </is>
      </c>
      <c r="C5" s="7" t="inlineStr">
        <is>
          <t>단위</t>
        </is>
      </c>
      <c r="D5" s="7" t="inlineStr">
        <is>
          <t>비고 / 수식 근거</t>
        </is>
      </c>
    </row>
    <row r="6">
      <c r="A6" s="8" t="inlineStr">
        <is>
          <t>압력차 q = ΔP</t>
        </is>
      </c>
      <c r="B6" s="14">
        <f>IF(ISBLANK(in_dP),0,in_dP)</f>
        <v/>
      </c>
      <c r="C6" s="8" t="inlineStr">
        <is>
          <t>MPa</t>
        </is>
      </c>
      <c r="D6" s="10" t="inlineStr"/>
    </row>
    <row r="7">
      <c r="A7" s="8" t="inlineStr">
        <is>
          <t>고압면 부호 zsign</t>
        </is>
      </c>
      <c r="B7" s="8">
        <f>IF(in_face="crest",1,-1)</f>
        <v/>
      </c>
      <c r="C7" s="8" t="inlineStr"/>
      <c r="D7" s="10" t="inlineStr">
        <is>
          <t>+1: 고압면 +z(산), 지지선 골 | −1: 고압면 −z(골), 지지선 산</t>
        </is>
      </c>
    </row>
    <row r="8">
      <c r="A8" s="8" t="inlineStr">
        <is>
          <t>하중 쪽 능선 반경 R_a</t>
        </is>
      </c>
      <c r="B8" s="8">
        <f>IF(zsgn&gt;0,Rc,Rv)</f>
        <v/>
      </c>
      <c r="C8" s="8" t="inlineStr">
        <is>
          <t>mm</t>
        </is>
      </c>
      <c r="D8" s="10" t="inlineStr">
        <is>
          <t>표준 좌표: x=0 이 하중 쪽 능선(z=+f), x=c 가 지지선(z=−f)</t>
        </is>
      </c>
    </row>
    <row r="9">
      <c r="A9" s="8" t="inlineStr">
        <is>
          <t>지지선 반경 R_b</t>
        </is>
      </c>
      <c r="B9" s="8">
        <f>IF(zsgn&gt;0,Rv,Rc)</f>
        <v/>
      </c>
      <c r="C9" s="8" t="inlineStr">
        <is>
          <t>mm</t>
        </is>
      </c>
      <c r="D9" s="10" t="inlineStr"/>
    </row>
    <row r="10">
      <c r="A10" s="8" t="inlineStr">
        <is>
          <t>EI = E h³/(12(1−ν²))</t>
        </is>
      </c>
      <c r="B10" s="18">
        <f>E_*h_calc^3/(12*(1-nu_^2))</f>
        <v/>
      </c>
      <c r="C10" s="8" t="inlineStr">
        <is>
          <t>N·mm</t>
        </is>
      </c>
      <c r="D10" s="10" t="inlineStr">
        <is>
          <t>단위 폭 스트립, y 평면변형</t>
        </is>
      </c>
    </row>
    <row r="11">
      <c r="A11" s="8" t="inlineStr">
        <is>
          <t>EA = E h/(1−ν²)</t>
        </is>
      </c>
      <c r="B11" s="18">
        <f>E_*h_calc/(1-nu_^2)</f>
        <v/>
      </c>
      <c r="C11" s="8" t="inlineStr">
        <is>
          <t>N/mm</t>
        </is>
      </c>
      <c r="D11" s="10" t="inlineStr"/>
    </row>
    <row r="13">
      <c r="A13" s="6" t="inlineStr">
        <is>
          <t>(C) 접촉점 격자와 Hertz 접촉 (1차 추정)</t>
        </is>
      </c>
      <c r="B13" s="6" t="n"/>
      <c r="C13" s="6" t="n"/>
      <c r="D13" s="6" t="n"/>
    </row>
    <row r="14">
      <c r="A14" s="7" t="inlineStr">
        <is>
          <t>항목</t>
        </is>
      </c>
      <c r="B14" s="7" t="inlineStr">
        <is>
          <t>값</t>
        </is>
      </c>
      <c r="C14" s="7" t="inlineStr">
        <is>
          <t>단위</t>
        </is>
      </c>
      <c r="D14" s="7" t="inlineStr">
        <is>
          <t>비고 / 수식 근거</t>
        </is>
      </c>
    </row>
    <row r="15">
      <c r="A15" s="8" t="inlineStr">
        <is>
          <t>접촉점 간격 a = p/sin2β</t>
        </is>
      </c>
      <c r="B15" s="15">
        <f>p_/SIN(2*beta)</f>
        <v/>
      </c>
      <c r="C15" s="8" t="inlineStr">
        <is>
          <t>mm</t>
        </is>
      </c>
      <c r="D15" s="10" t="inlineStr">
        <is>
          <t>능선을 따라 이웃 판 능선과의 교차 간격</t>
        </is>
      </c>
    </row>
    <row r="16">
      <c r="A16" s="8" t="inlineStr">
        <is>
          <t>격자 셀 면적 = p²/sin2β</t>
        </is>
      </c>
      <c r="B16" s="15">
        <f>p_^2/SIN(2*beta)</f>
        <v/>
      </c>
      <c r="C16" s="8" t="inlineStr">
        <is>
          <t>mm²</t>
        </is>
      </c>
      <c r="D16" s="10" t="inlineStr"/>
    </row>
    <row r="17">
      <c r="A17" s="8" t="inlineStr">
        <is>
          <t>접촉력 F = q·A_cell</t>
        </is>
      </c>
      <c r="B17" s="15">
        <f>q_p*A_cell</f>
        <v/>
      </c>
      <c r="C17" s="8" t="inlineStr">
        <is>
          <t>N</t>
        </is>
      </c>
      <c r="D17" s="10" t="inlineStr"/>
    </row>
    <row r="18">
      <c r="A18" s="8" t="inlineStr">
        <is>
          <t>산 외면 반경 R_c + h/2</t>
        </is>
      </c>
      <c r="B18" s="15">
        <f>Rc+h_calc/2</f>
        <v/>
      </c>
      <c r="C18" s="8" t="inlineStr">
        <is>
          <t>mm</t>
        </is>
      </c>
      <c r="D18" s="10" t="inlineStr">
        <is>
          <t>접촉은 산–산</t>
        </is>
      </c>
    </row>
    <row r="19">
      <c r="A19" s="8" t="inlineStr">
        <is>
          <t>교차각 φ = 2β</t>
        </is>
      </c>
      <c r="B19" s="8">
        <f>2*beta</f>
        <v/>
      </c>
      <c r="C19" s="8" t="inlineStr">
        <is>
          <t>rad</t>
        </is>
      </c>
      <c r="D19" s="10" t="inlineStr"/>
    </row>
    <row r="20">
      <c r="A20" s="8" t="inlineStr">
        <is>
          <t>Hertz A = (1−|cosφ|)/(2R)</t>
        </is>
      </c>
      <c r="B20" s="16">
        <f>(1-ABS(COS(phi_c)))/(2*R_out)</f>
        <v/>
      </c>
      <c r="C20" s="8" t="inlineStr">
        <is>
          <t>1/mm</t>
        </is>
      </c>
      <c r="D20" s="10" t="inlineStr"/>
    </row>
    <row r="21">
      <c r="A21" s="8" t="inlineStr">
        <is>
          <t>Hertz B = (1+|cosφ|)/(2R)</t>
        </is>
      </c>
      <c r="B21" s="16">
        <f>(1+ABS(COS(phi_c)))/(2*R_out)</f>
        <v/>
      </c>
      <c r="C21" s="8" t="inlineStr">
        <is>
          <t>1/mm</t>
        </is>
      </c>
      <c r="D21" s="10" t="inlineStr"/>
    </row>
    <row r="22">
      <c r="A22" s="8" t="inlineStr">
        <is>
          <t>R_e = 1/(2√(AB))</t>
        </is>
      </c>
      <c r="B22" s="15">
        <f>1/(2*SQRT(A_h*B_h))</f>
        <v/>
      </c>
      <c r="C22" s="8" t="inlineStr">
        <is>
          <t>mm</t>
        </is>
      </c>
      <c r="D22" s="10" t="inlineStr"/>
    </row>
    <row r="23">
      <c r="A23" s="8" t="inlineStr">
        <is>
          <t>E* = E/(2(1−ν²))</t>
        </is>
      </c>
      <c r="B23" s="18">
        <f>E_/(2*(1-nu_^2))</f>
        <v/>
      </c>
      <c r="C23" s="8" t="inlineStr">
        <is>
          <t>MPa</t>
        </is>
      </c>
      <c r="D23" s="10" t="inlineStr">
        <is>
          <t>같은 재료 두 물체</t>
        </is>
      </c>
    </row>
    <row r="24">
      <c r="A24" s="8" t="inlineStr">
        <is>
          <t>c = √(ab) = (3FR_e/4E*)^(1/3)</t>
        </is>
      </c>
      <c r="B24" s="15">
        <f>IF(F_c&gt;0,(3*F_c*Re_h/(4*Es_h))^(1/3),0)</f>
        <v/>
      </c>
      <c r="C24" s="8" t="inlineStr">
        <is>
          <t>mm</t>
        </is>
      </c>
      <c r="D24" s="10" t="inlineStr">
        <is>
          <t>Johnson §4.2, F1≈1 (오차 &lt;5 %)</t>
        </is>
      </c>
    </row>
    <row r="25">
      <c r="A25" s="8" t="inlineStr">
        <is>
          <t>최대 접촉압 p0 = 3F/(2πc²)</t>
        </is>
      </c>
      <c r="B25" s="18">
        <f>IF(c_h&gt;0,3*F_c/(2*PI()*c_h^2),0)</f>
        <v/>
      </c>
      <c r="C25" s="8" t="inlineStr">
        <is>
          <t>MPa</t>
        </is>
      </c>
      <c r="D25" s="10" t="inlineStr">
        <is>
          <t>p0 &gt; 1.6·항복강도 → 접촉점 국부 항복</t>
        </is>
      </c>
    </row>
    <row r="27">
      <c r="A27" s="6" t="inlineStr">
        <is>
          <t>(A) 곡선 프레임 — 반주기(하중 쪽 능선 → 지지선) 60 분할 표: 압력이 −z 로 밀고 x=c 지지선에서 반력 q·c</t>
        </is>
      </c>
      <c r="B27" s="6" t="n"/>
      <c r="C27" s="6" t="n"/>
      <c r="D27" s="6" t="n"/>
    </row>
    <row r="28">
      <c r="A28" s="7" t="inlineStr">
        <is>
          <t>항목</t>
        </is>
      </c>
      <c r="B28" s="7" t="inlineStr">
        <is>
          <t>값</t>
        </is>
      </c>
      <c r="C28" s="7" t="inlineStr">
        <is>
          <t>단위</t>
        </is>
      </c>
      <c r="D28" s="7" t="inlineStr">
        <is>
          <t>비고 / 수식 근거</t>
        </is>
      </c>
    </row>
    <row r="29">
      <c r="A29" s="4" t="inlineStr">
        <is>
          <t>Castigliano: 잉여력 M_c(x=0 모멘트), P(x=0 수평력; free 이면 0). M_i = M0_i + P·MP_i − M_c,  N_i = N0_i + P·NP_i.  σ(+n) = N/h − 6M/h², σ(−n) = N/h + 6M/h²</t>
        </is>
      </c>
    </row>
    <row r="30">
      <c r="A30" s="7" t="inlineStr">
        <is>
          <t>k</t>
        </is>
      </c>
      <c r="B30" s="7" t="inlineStr">
        <is>
          <t>piece</t>
        </is>
      </c>
      <c r="C30" s="7" t="inlineStr">
        <is>
          <t>s_loc</t>
        </is>
      </c>
      <c r="D30" s="7" t="inlineStr">
        <is>
          <t>x</t>
        </is>
      </c>
      <c r="E30" s="7" t="inlineStr">
        <is>
          <t>z</t>
        </is>
      </c>
      <c r="F30" s="7" t="inlineStr">
        <is>
          <t>θ</t>
        </is>
      </c>
      <c r="G30" s="7" t="inlineStr">
        <is>
          <t>ds</t>
        </is>
      </c>
      <c r="H30" s="7" t="inlineStr">
        <is>
          <t>dx</t>
        </is>
      </c>
      <c r="I30" s="7" t="inlineStr">
        <is>
          <t>dz</t>
        </is>
      </c>
      <c r="J30" s="7" t="inlineStr">
        <is>
          <t>Fx</t>
        </is>
      </c>
      <c r="K30" s="7" t="inlineStr">
        <is>
          <t>Fz</t>
        </is>
      </c>
      <c r="L30" s="7" t="inlineStr">
        <is>
          <t>cFx</t>
        </is>
      </c>
      <c r="M30" s="7" t="inlineStr">
        <is>
          <t>cFz</t>
        </is>
      </c>
      <c r="N30" s="7" t="inlineStr">
        <is>
          <t>c(xFz)</t>
        </is>
      </c>
      <c r="O30" s="7" t="inlineStr">
        <is>
          <t>c(zFx)</t>
        </is>
      </c>
      <c r="P30" s="7" t="inlineStr">
        <is>
          <t>S_load</t>
        </is>
      </c>
      <c r="Q30" s="7" t="inlineStr">
        <is>
          <t>N0</t>
        </is>
      </c>
      <c r="R30" s="7" t="inlineStr">
        <is>
          <t>NP</t>
        </is>
      </c>
      <c r="S30" s="7" t="inlineStr">
        <is>
          <t>M0</t>
        </is>
      </c>
      <c r="T30" s="7" t="inlineStr">
        <is>
          <t>MP</t>
        </is>
      </c>
      <c r="U30" s="7" t="inlineStr">
        <is>
          <t>wM</t>
        </is>
      </c>
      <c r="V30" s="7" t="inlineStr">
        <is>
          <t>wN</t>
        </is>
      </c>
      <c r="W30" s="7" t="inlineStr">
        <is>
          <t>N</t>
        </is>
      </c>
      <c r="X30" s="7" t="inlineStr">
        <is>
          <t>M</t>
        </is>
      </c>
      <c r="Y30" s="7" t="inlineStr">
        <is>
          <t>σ+n</t>
        </is>
      </c>
      <c r="Z30" s="7" t="inlineStr">
        <is>
          <t>σ−n</t>
        </is>
      </c>
      <c r="AA30" s="7" t="inlineStr">
        <is>
          <t>MP·wM</t>
        </is>
      </c>
      <c r="AB30" s="7" t="inlineStr">
        <is>
          <t>M0·wM</t>
        </is>
      </c>
      <c r="AC30" s="7" t="inlineStr">
        <is>
          <t>MP²wM+NP²wN</t>
        </is>
      </c>
      <c r="AD30" s="7" t="inlineStr">
        <is>
          <t>MP·M0·wM+NP·N0·wN</t>
        </is>
      </c>
      <c r="AE30" s="7" t="inlineStr">
        <is>
          <t>x·Fz</t>
        </is>
      </c>
      <c r="AF30" s="7" t="inlineStr">
        <is>
          <t>z·Fx</t>
        </is>
      </c>
    </row>
    <row r="31">
      <c r="A31" s="15" t="n">
        <v>1</v>
      </c>
      <c r="B31" s="15">
        <f>IF($A$31&lt;=20,1,IF($A$31&lt;=40,2,3))</f>
        <v/>
      </c>
      <c r="C31" s="15">
        <f>($A$31-20*($B$31-1)-0.5)/20*CHOOSE($B$31,R_load*alpha,TL,R_supp*alpha)</f>
        <v/>
      </c>
      <c r="D31" s="15">
        <f>CHOOSE($B$31,R_load*SIN($C$31/R_load),R_load*SIN(alpha)+$C$31*COS(alpha),c_-R_supp*SIN(alpha-$C$31/R_supp))</f>
        <v/>
      </c>
      <c r="E31" s="15">
        <f>CHOOSE($B$31,f_-R_load+R_load*COS($C$31/R_load),f_-R_load*(1-COS(alpha))-$C$31*SIN(alpha),-f_+R_supp-R_supp*COS(alpha-$C$31/R_supp))</f>
        <v/>
      </c>
      <c r="F31" s="15">
        <f>CHOOSE($B$31,-$C$31/R_load,-alpha,-(alpha-$C$31/R_supp))</f>
        <v/>
      </c>
      <c r="G31" s="15">
        <f>CHOOSE($B$31,R_load*alpha,TL,R_supp*alpha)/20</f>
        <v/>
      </c>
      <c r="H31" s="15">
        <f>$G$31*COS($F$31)</f>
        <v/>
      </c>
      <c r="I31" s="15">
        <f>$G$31*SIN($F$31)</f>
        <v/>
      </c>
      <c r="J31" s="16">
        <f>q_p*$I$31</f>
        <v/>
      </c>
      <c r="K31" s="16">
        <f>-q_p*$H$31</f>
        <v/>
      </c>
      <c r="L31" s="16">
        <f>SUM($J$31:$J$31)-0.5*$J$31</f>
        <v/>
      </c>
      <c r="M31" s="16">
        <f>SUM($K$31:$K$31)-0.5*$K$31</f>
        <v/>
      </c>
      <c r="N31" s="16">
        <f>SUMPRODUCT($D$31:$D$31,$K$31:$K$31)-0.5*$D$31*$K$31</f>
        <v/>
      </c>
      <c r="O31" s="16">
        <f>SUMPRODUCT($E$31:$E$31,$J$31:$J$31)-0.5*$E$31*$J$31</f>
        <v/>
      </c>
      <c r="P31" s="16">
        <f>($N$31-$D$31*$M$31)-($O$31-$E$31*$L$31)</f>
        <v/>
      </c>
      <c r="Q31" s="16">
        <f>-$L$31*COS($F$31)-$M$31*SIN($F$31)</f>
        <v/>
      </c>
      <c r="R31" s="15">
        <f>-COS($F$31)</f>
        <v/>
      </c>
      <c r="S31" s="16">
        <f>-$P$31</f>
        <v/>
      </c>
      <c r="T31" s="15">
        <f>f_-$E$31</f>
        <v/>
      </c>
      <c r="U31" s="16">
        <f>$G$31/EI_</f>
        <v/>
      </c>
      <c r="V31" s="16">
        <f>$G$31/EA_</f>
        <v/>
      </c>
      <c r="W31" s="15">
        <f>$Q$31+P_fr*$R$31</f>
        <v/>
      </c>
      <c r="X31" s="15">
        <f>$S$31+P_fr*$T$31-Mc_fr</f>
        <v/>
      </c>
      <c r="Y31" s="15">
        <f>$W$31/h_calc-6*$X$31/h_calc^2</f>
        <v/>
      </c>
      <c r="Z31" s="15">
        <f>$W$31/h_calc+6*$X$31/h_calc^2</f>
        <v/>
      </c>
      <c r="AA31" s="16">
        <f>$T$31*$U$31</f>
        <v/>
      </c>
      <c r="AB31" s="16">
        <f>$S$31*$U$31</f>
        <v/>
      </c>
      <c r="AC31" s="16">
        <f>$T$31^2*$U$31+$R$31^2*$V$31</f>
        <v/>
      </c>
      <c r="AD31" s="16">
        <f>$T$31*$S$31*$U$31+$R$31*$Q$31*$V$31</f>
        <v/>
      </c>
      <c r="AE31" s="16">
        <f>$D$31*$K$31</f>
        <v/>
      </c>
      <c r="AF31" s="16">
        <f>$E$31*$J$31</f>
        <v/>
      </c>
    </row>
    <row r="32">
      <c r="A32" s="15" t="n">
        <v>2</v>
      </c>
      <c r="B32" s="15">
        <f>IF($A$32&lt;=20,1,IF($A$32&lt;=40,2,3))</f>
        <v/>
      </c>
      <c r="C32" s="15">
        <f>($A$32-20*($B$32-1)-0.5)/20*CHOOSE($B$32,R_load*alpha,TL,R_supp*alpha)</f>
        <v/>
      </c>
      <c r="D32" s="15">
        <f>CHOOSE($B$32,R_load*SIN($C$32/R_load),R_load*SIN(alpha)+$C$32*COS(alpha),c_-R_supp*SIN(alpha-$C$32/R_supp))</f>
        <v/>
      </c>
      <c r="E32" s="15">
        <f>CHOOSE($B$32,f_-R_load+R_load*COS($C$32/R_load),f_-R_load*(1-COS(alpha))-$C$32*SIN(alpha),-f_+R_supp-R_supp*COS(alpha-$C$32/R_supp))</f>
        <v/>
      </c>
      <c r="F32" s="15">
        <f>CHOOSE($B$32,-$C$32/R_load,-alpha,-(alpha-$C$32/R_supp))</f>
        <v/>
      </c>
      <c r="G32" s="15">
        <f>CHOOSE($B$32,R_load*alpha,TL,R_supp*alpha)/20</f>
        <v/>
      </c>
      <c r="H32" s="15">
        <f>$G$32*COS($F$32)</f>
        <v/>
      </c>
      <c r="I32" s="15">
        <f>$G$32*SIN($F$32)</f>
        <v/>
      </c>
      <c r="J32" s="16">
        <f>q_p*$I$32</f>
        <v/>
      </c>
      <c r="K32" s="16">
        <f>-q_p*$H$32</f>
        <v/>
      </c>
      <c r="L32" s="16">
        <f>SUM($J$31:$J$32)-0.5*$J$32</f>
        <v/>
      </c>
      <c r="M32" s="16">
        <f>SUM($K$31:$K$32)-0.5*$K$32</f>
        <v/>
      </c>
      <c r="N32" s="16">
        <f>SUMPRODUCT($D$31:$D$32,$K$31:$K$32)-0.5*$D$32*$K$32</f>
        <v/>
      </c>
      <c r="O32" s="16">
        <f>SUMPRODUCT($E$31:$E$32,$J$31:$J$32)-0.5*$E$32*$J$32</f>
        <v/>
      </c>
      <c r="P32" s="16">
        <f>($N$32-$D$32*$M$32)-($O$32-$E$32*$L$32)</f>
        <v/>
      </c>
      <c r="Q32" s="16">
        <f>-$L$32*COS($F$32)-$M$32*SIN($F$32)</f>
        <v/>
      </c>
      <c r="R32" s="15">
        <f>-COS($F$32)</f>
        <v/>
      </c>
      <c r="S32" s="16">
        <f>-$P$32</f>
        <v/>
      </c>
      <c r="T32" s="15">
        <f>f_-$E$32</f>
        <v/>
      </c>
      <c r="U32" s="16">
        <f>$G$32/EI_</f>
        <v/>
      </c>
      <c r="V32" s="16">
        <f>$G$32/EA_</f>
        <v/>
      </c>
      <c r="W32" s="15">
        <f>$Q$32+P_fr*$R$32</f>
        <v/>
      </c>
      <c r="X32" s="15">
        <f>$S$32+P_fr*$T$32-Mc_fr</f>
        <v/>
      </c>
      <c r="Y32" s="15">
        <f>$W$32/h_calc-6*$X$32/h_calc^2</f>
        <v/>
      </c>
      <c r="Z32" s="15">
        <f>$W$32/h_calc+6*$X$32/h_calc^2</f>
        <v/>
      </c>
      <c r="AA32" s="16">
        <f>$T$32*$U$32</f>
        <v/>
      </c>
      <c r="AB32" s="16">
        <f>$S$32*$U$32</f>
        <v/>
      </c>
      <c r="AC32" s="16">
        <f>$T$32^2*$U$32+$R$32^2*$V$32</f>
        <v/>
      </c>
      <c r="AD32" s="16">
        <f>$T$32*$S$32*$U$32+$R$32*$Q$32*$V$32</f>
        <v/>
      </c>
      <c r="AE32" s="16">
        <f>$D$32*$K$32</f>
        <v/>
      </c>
      <c r="AF32" s="16">
        <f>$E$32*$J$32</f>
        <v/>
      </c>
    </row>
    <row r="33">
      <c r="A33" s="15" t="n">
        <v>3</v>
      </c>
      <c r="B33" s="15">
        <f>IF($A$33&lt;=20,1,IF($A$33&lt;=40,2,3))</f>
        <v/>
      </c>
      <c r="C33" s="15">
        <f>($A$33-20*($B$33-1)-0.5)/20*CHOOSE($B$33,R_load*alpha,TL,R_supp*alpha)</f>
        <v/>
      </c>
      <c r="D33" s="15">
        <f>CHOOSE($B$33,R_load*SIN($C$33/R_load),R_load*SIN(alpha)+$C$33*COS(alpha),c_-R_supp*SIN(alpha-$C$33/R_supp))</f>
        <v/>
      </c>
      <c r="E33" s="15">
        <f>CHOOSE($B$33,f_-R_load+R_load*COS($C$33/R_load),f_-R_load*(1-COS(alpha))-$C$33*SIN(alpha),-f_+R_supp-R_supp*COS(alpha-$C$33/R_supp))</f>
        <v/>
      </c>
      <c r="F33" s="15">
        <f>CHOOSE($B$33,-$C$33/R_load,-alpha,-(alpha-$C$33/R_supp))</f>
        <v/>
      </c>
      <c r="G33" s="15">
        <f>CHOOSE($B$33,R_load*alpha,TL,R_supp*alpha)/20</f>
        <v/>
      </c>
      <c r="H33" s="15">
        <f>$G$33*COS($F$33)</f>
        <v/>
      </c>
      <c r="I33" s="15">
        <f>$G$33*SIN($F$33)</f>
        <v/>
      </c>
      <c r="J33" s="16">
        <f>q_p*$I$33</f>
        <v/>
      </c>
      <c r="K33" s="16">
        <f>-q_p*$H$33</f>
        <v/>
      </c>
      <c r="L33" s="16">
        <f>SUM($J$31:$J$33)-0.5*$J$33</f>
        <v/>
      </c>
      <c r="M33" s="16">
        <f>SUM($K$31:$K$33)-0.5*$K$33</f>
        <v/>
      </c>
      <c r="N33" s="16">
        <f>SUMPRODUCT($D$31:$D$33,$K$31:$K$33)-0.5*$D$33*$K$33</f>
        <v/>
      </c>
      <c r="O33" s="16">
        <f>SUMPRODUCT($E$31:$E$33,$J$31:$J$33)-0.5*$E$33*$J$33</f>
        <v/>
      </c>
      <c r="P33" s="16">
        <f>($N$33-$D$33*$M$33)-($O$33-$E$33*$L$33)</f>
        <v/>
      </c>
      <c r="Q33" s="16">
        <f>-$L$33*COS($F$33)-$M$33*SIN($F$33)</f>
        <v/>
      </c>
      <c r="R33" s="15">
        <f>-COS($F$33)</f>
        <v/>
      </c>
      <c r="S33" s="16">
        <f>-$P$33</f>
        <v/>
      </c>
      <c r="T33" s="15">
        <f>f_-$E$33</f>
        <v/>
      </c>
      <c r="U33" s="16">
        <f>$G$33/EI_</f>
        <v/>
      </c>
      <c r="V33" s="16">
        <f>$G$33/EA_</f>
        <v/>
      </c>
      <c r="W33" s="15">
        <f>$Q$33+P_fr*$R$33</f>
        <v/>
      </c>
      <c r="X33" s="15">
        <f>$S$33+P_fr*$T$33-Mc_fr</f>
        <v/>
      </c>
      <c r="Y33" s="15">
        <f>$W$33/h_calc-6*$X$33/h_calc^2</f>
        <v/>
      </c>
      <c r="Z33" s="15">
        <f>$W$33/h_calc+6*$X$33/h_calc^2</f>
        <v/>
      </c>
      <c r="AA33" s="16">
        <f>$T$33*$U$33</f>
        <v/>
      </c>
      <c r="AB33" s="16">
        <f>$S$33*$U$33</f>
        <v/>
      </c>
      <c r="AC33" s="16">
        <f>$T$33^2*$U$33+$R$33^2*$V$33</f>
        <v/>
      </c>
      <c r="AD33" s="16">
        <f>$T$33*$S$33*$U$33+$R$33*$Q$33*$V$33</f>
        <v/>
      </c>
      <c r="AE33" s="16">
        <f>$D$33*$K$33</f>
        <v/>
      </c>
      <c r="AF33" s="16">
        <f>$E$33*$J$33</f>
        <v/>
      </c>
    </row>
    <row r="34">
      <c r="A34" s="15" t="n">
        <v>4</v>
      </c>
      <c r="B34" s="15">
        <f>IF($A$34&lt;=20,1,IF($A$34&lt;=40,2,3))</f>
        <v/>
      </c>
      <c r="C34" s="15">
        <f>($A$34-20*($B$34-1)-0.5)/20*CHOOSE($B$34,R_load*alpha,TL,R_supp*alpha)</f>
        <v/>
      </c>
      <c r="D34" s="15">
        <f>CHOOSE($B$34,R_load*SIN($C$34/R_load),R_load*SIN(alpha)+$C$34*COS(alpha),c_-R_supp*SIN(alpha-$C$34/R_supp))</f>
        <v/>
      </c>
      <c r="E34" s="15">
        <f>CHOOSE($B$34,f_-R_load+R_load*COS($C$34/R_load),f_-R_load*(1-COS(alpha))-$C$34*SIN(alpha),-f_+R_supp-R_supp*COS(alpha-$C$34/R_supp))</f>
        <v/>
      </c>
      <c r="F34" s="15">
        <f>CHOOSE($B$34,-$C$34/R_load,-alpha,-(alpha-$C$34/R_supp))</f>
        <v/>
      </c>
      <c r="G34" s="15">
        <f>CHOOSE($B$34,R_load*alpha,TL,R_supp*alpha)/20</f>
        <v/>
      </c>
      <c r="H34" s="15">
        <f>$G$34*COS($F$34)</f>
        <v/>
      </c>
      <c r="I34" s="15">
        <f>$G$34*SIN($F$34)</f>
        <v/>
      </c>
      <c r="J34" s="16">
        <f>q_p*$I$34</f>
        <v/>
      </c>
      <c r="K34" s="16">
        <f>-q_p*$H$34</f>
        <v/>
      </c>
      <c r="L34" s="16">
        <f>SUM($J$31:$J$34)-0.5*$J$34</f>
        <v/>
      </c>
      <c r="M34" s="16">
        <f>SUM($K$31:$K$34)-0.5*$K$34</f>
        <v/>
      </c>
      <c r="N34" s="16">
        <f>SUMPRODUCT($D$31:$D$34,$K$31:$K$34)-0.5*$D$34*$K$34</f>
        <v/>
      </c>
      <c r="O34" s="16">
        <f>SUMPRODUCT($E$31:$E$34,$J$31:$J$34)-0.5*$E$34*$J$34</f>
        <v/>
      </c>
      <c r="P34" s="16">
        <f>($N$34-$D$34*$M$34)-($O$34-$E$34*$L$34)</f>
        <v/>
      </c>
      <c r="Q34" s="16">
        <f>-$L$34*COS($F$34)-$M$34*SIN($F$34)</f>
        <v/>
      </c>
      <c r="R34" s="15">
        <f>-COS($F$34)</f>
        <v/>
      </c>
      <c r="S34" s="16">
        <f>-$P$34</f>
        <v/>
      </c>
      <c r="T34" s="15">
        <f>f_-$E$34</f>
        <v/>
      </c>
      <c r="U34" s="16">
        <f>$G$34/EI_</f>
        <v/>
      </c>
      <c r="V34" s="16">
        <f>$G$34/EA_</f>
        <v/>
      </c>
      <c r="W34" s="15">
        <f>$Q$34+P_fr*$R$34</f>
        <v/>
      </c>
      <c r="X34" s="15">
        <f>$S$34+P_fr*$T$34-Mc_fr</f>
        <v/>
      </c>
      <c r="Y34" s="15">
        <f>$W$34/h_calc-6*$X$34/h_calc^2</f>
        <v/>
      </c>
      <c r="Z34" s="15">
        <f>$W$34/h_calc+6*$X$34/h_calc^2</f>
        <v/>
      </c>
      <c r="AA34" s="16">
        <f>$T$34*$U$34</f>
        <v/>
      </c>
      <c r="AB34" s="16">
        <f>$S$34*$U$34</f>
        <v/>
      </c>
      <c r="AC34" s="16">
        <f>$T$34^2*$U$34+$R$34^2*$V$34</f>
        <v/>
      </c>
      <c r="AD34" s="16">
        <f>$T$34*$S$34*$U$34+$R$34*$Q$34*$V$34</f>
        <v/>
      </c>
      <c r="AE34" s="16">
        <f>$D$34*$K$34</f>
        <v/>
      </c>
      <c r="AF34" s="16">
        <f>$E$34*$J$34</f>
        <v/>
      </c>
    </row>
    <row r="35">
      <c r="A35" s="15" t="n">
        <v>5</v>
      </c>
      <c r="B35" s="15">
        <f>IF($A$35&lt;=20,1,IF($A$35&lt;=40,2,3))</f>
        <v/>
      </c>
      <c r="C35" s="15">
        <f>($A$35-20*($B$35-1)-0.5)/20*CHOOSE($B$35,R_load*alpha,TL,R_supp*alpha)</f>
        <v/>
      </c>
      <c r="D35" s="15">
        <f>CHOOSE($B$35,R_load*SIN($C$35/R_load),R_load*SIN(alpha)+$C$35*COS(alpha),c_-R_supp*SIN(alpha-$C$35/R_supp))</f>
        <v/>
      </c>
      <c r="E35" s="15">
        <f>CHOOSE($B$35,f_-R_load+R_load*COS($C$35/R_load),f_-R_load*(1-COS(alpha))-$C$35*SIN(alpha),-f_+R_supp-R_supp*COS(alpha-$C$35/R_supp))</f>
        <v/>
      </c>
      <c r="F35" s="15">
        <f>CHOOSE($B$35,-$C$35/R_load,-alpha,-(alpha-$C$35/R_supp))</f>
        <v/>
      </c>
      <c r="G35" s="15">
        <f>CHOOSE($B$35,R_load*alpha,TL,R_supp*alpha)/20</f>
        <v/>
      </c>
      <c r="H35" s="15">
        <f>$G$35*COS($F$35)</f>
        <v/>
      </c>
      <c r="I35" s="15">
        <f>$G$35*SIN($F$35)</f>
        <v/>
      </c>
      <c r="J35" s="16">
        <f>q_p*$I$35</f>
        <v/>
      </c>
      <c r="K35" s="16">
        <f>-q_p*$H$35</f>
        <v/>
      </c>
      <c r="L35" s="16">
        <f>SUM($J$31:$J$35)-0.5*$J$35</f>
        <v/>
      </c>
      <c r="M35" s="16">
        <f>SUM($K$31:$K$35)-0.5*$K$35</f>
        <v/>
      </c>
      <c r="N35" s="16">
        <f>SUMPRODUCT($D$31:$D$35,$K$31:$K$35)-0.5*$D$35*$K$35</f>
        <v/>
      </c>
      <c r="O35" s="16">
        <f>SUMPRODUCT($E$31:$E$35,$J$31:$J$35)-0.5*$E$35*$J$35</f>
        <v/>
      </c>
      <c r="P35" s="16">
        <f>($N$35-$D$35*$M$35)-($O$35-$E$35*$L$35)</f>
        <v/>
      </c>
      <c r="Q35" s="16">
        <f>-$L$35*COS($F$35)-$M$35*SIN($F$35)</f>
        <v/>
      </c>
      <c r="R35" s="15">
        <f>-COS($F$35)</f>
        <v/>
      </c>
      <c r="S35" s="16">
        <f>-$P$35</f>
        <v/>
      </c>
      <c r="T35" s="15">
        <f>f_-$E$35</f>
        <v/>
      </c>
      <c r="U35" s="16">
        <f>$G$35/EI_</f>
        <v/>
      </c>
      <c r="V35" s="16">
        <f>$G$35/EA_</f>
        <v/>
      </c>
      <c r="W35" s="15">
        <f>$Q$35+P_fr*$R$35</f>
        <v/>
      </c>
      <c r="X35" s="15">
        <f>$S$35+P_fr*$T$35-Mc_fr</f>
        <v/>
      </c>
      <c r="Y35" s="15">
        <f>$W$35/h_calc-6*$X$35/h_calc^2</f>
        <v/>
      </c>
      <c r="Z35" s="15">
        <f>$W$35/h_calc+6*$X$35/h_calc^2</f>
        <v/>
      </c>
      <c r="AA35" s="16">
        <f>$T$35*$U$35</f>
        <v/>
      </c>
      <c r="AB35" s="16">
        <f>$S$35*$U$35</f>
        <v/>
      </c>
      <c r="AC35" s="16">
        <f>$T$35^2*$U$35+$R$35^2*$V$35</f>
        <v/>
      </c>
      <c r="AD35" s="16">
        <f>$T$35*$S$35*$U$35+$R$35*$Q$35*$V$35</f>
        <v/>
      </c>
      <c r="AE35" s="16">
        <f>$D$35*$K$35</f>
        <v/>
      </c>
      <c r="AF35" s="16">
        <f>$E$35*$J$35</f>
        <v/>
      </c>
    </row>
    <row r="36">
      <c r="A36" s="15" t="n">
        <v>6</v>
      </c>
      <c r="B36" s="15">
        <f>IF($A$36&lt;=20,1,IF($A$36&lt;=40,2,3))</f>
        <v/>
      </c>
      <c r="C36" s="15">
        <f>($A$36-20*($B$36-1)-0.5)/20*CHOOSE($B$36,R_load*alpha,TL,R_supp*alpha)</f>
        <v/>
      </c>
      <c r="D36" s="15">
        <f>CHOOSE($B$36,R_load*SIN($C$36/R_load),R_load*SIN(alpha)+$C$36*COS(alpha),c_-R_supp*SIN(alpha-$C$36/R_supp))</f>
        <v/>
      </c>
      <c r="E36" s="15">
        <f>CHOOSE($B$36,f_-R_load+R_load*COS($C$36/R_load),f_-R_load*(1-COS(alpha))-$C$36*SIN(alpha),-f_+R_supp-R_supp*COS(alpha-$C$36/R_supp))</f>
        <v/>
      </c>
      <c r="F36" s="15">
        <f>CHOOSE($B$36,-$C$36/R_load,-alpha,-(alpha-$C$36/R_supp))</f>
        <v/>
      </c>
      <c r="G36" s="15">
        <f>CHOOSE($B$36,R_load*alpha,TL,R_supp*alpha)/20</f>
        <v/>
      </c>
      <c r="H36" s="15">
        <f>$G$36*COS($F$36)</f>
        <v/>
      </c>
      <c r="I36" s="15">
        <f>$G$36*SIN($F$36)</f>
        <v/>
      </c>
      <c r="J36" s="16">
        <f>q_p*$I$36</f>
        <v/>
      </c>
      <c r="K36" s="16">
        <f>-q_p*$H$36</f>
        <v/>
      </c>
      <c r="L36" s="16">
        <f>SUM($J$31:$J$36)-0.5*$J$36</f>
        <v/>
      </c>
      <c r="M36" s="16">
        <f>SUM($K$31:$K$36)-0.5*$K$36</f>
        <v/>
      </c>
      <c r="N36" s="16">
        <f>SUMPRODUCT($D$31:$D$36,$K$31:$K$36)-0.5*$D$36*$K$36</f>
        <v/>
      </c>
      <c r="O36" s="16">
        <f>SUMPRODUCT($E$31:$E$36,$J$31:$J$36)-0.5*$E$36*$J$36</f>
        <v/>
      </c>
      <c r="P36" s="16">
        <f>($N$36-$D$36*$M$36)-($O$36-$E$36*$L$36)</f>
        <v/>
      </c>
      <c r="Q36" s="16">
        <f>-$L$36*COS($F$36)-$M$36*SIN($F$36)</f>
        <v/>
      </c>
      <c r="R36" s="15">
        <f>-COS($F$36)</f>
        <v/>
      </c>
      <c r="S36" s="16">
        <f>-$P$36</f>
        <v/>
      </c>
      <c r="T36" s="15">
        <f>f_-$E$36</f>
        <v/>
      </c>
      <c r="U36" s="16">
        <f>$G$36/EI_</f>
        <v/>
      </c>
      <c r="V36" s="16">
        <f>$G$36/EA_</f>
        <v/>
      </c>
      <c r="W36" s="15">
        <f>$Q$36+P_fr*$R$36</f>
        <v/>
      </c>
      <c r="X36" s="15">
        <f>$S$36+P_fr*$T$36-Mc_fr</f>
        <v/>
      </c>
      <c r="Y36" s="15">
        <f>$W$36/h_calc-6*$X$36/h_calc^2</f>
        <v/>
      </c>
      <c r="Z36" s="15">
        <f>$W$36/h_calc+6*$X$36/h_calc^2</f>
        <v/>
      </c>
      <c r="AA36" s="16">
        <f>$T$36*$U$36</f>
        <v/>
      </c>
      <c r="AB36" s="16">
        <f>$S$36*$U$36</f>
        <v/>
      </c>
      <c r="AC36" s="16">
        <f>$T$36^2*$U$36+$R$36^2*$V$36</f>
        <v/>
      </c>
      <c r="AD36" s="16">
        <f>$T$36*$S$36*$U$36+$R$36*$Q$36*$V$36</f>
        <v/>
      </c>
      <c r="AE36" s="16">
        <f>$D$36*$K$36</f>
        <v/>
      </c>
      <c r="AF36" s="16">
        <f>$E$36*$J$36</f>
        <v/>
      </c>
    </row>
    <row r="37">
      <c r="A37" s="15" t="n">
        <v>7</v>
      </c>
      <c r="B37" s="15">
        <f>IF($A$37&lt;=20,1,IF($A$37&lt;=40,2,3))</f>
        <v/>
      </c>
      <c r="C37" s="15">
        <f>($A$37-20*($B$37-1)-0.5)/20*CHOOSE($B$37,R_load*alpha,TL,R_supp*alpha)</f>
        <v/>
      </c>
      <c r="D37" s="15">
        <f>CHOOSE($B$37,R_load*SIN($C$37/R_load),R_load*SIN(alpha)+$C$37*COS(alpha),c_-R_supp*SIN(alpha-$C$37/R_supp))</f>
        <v/>
      </c>
      <c r="E37" s="15">
        <f>CHOOSE($B$37,f_-R_load+R_load*COS($C$37/R_load),f_-R_load*(1-COS(alpha))-$C$37*SIN(alpha),-f_+R_supp-R_supp*COS(alpha-$C$37/R_supp))</f>
        <v/>
      </c>
      <c r="F37" s="15">
        <f>CHOOSE($B$37,-$C$37/R_load,-alpha,-(alpha-$C$37/R_supp))</f>
        <v/>
      </c>
      <c r="G37" s="15">
        <f>CHOOSE($B$37,R_load*alpha,TL,R_supp*alpha)/20</f>
        <v/>
      </c>
      <c r="H37" s="15">
        <f>$G$37*COS($F$37)</f>
        <v/>
      </c>
      <c r="I37" s="15">
        <f>$G$37*SIN($F$37)</f>
        <v/>
      </c>
      <c r="J37" s="16">
        <f>q_p*$I$37</f>
        <v/>
      </c>
      <c r="K37" s="16">
        <f>-q_p*$H$37</f>
        <v/>
      </c>
      <c r="L37" s="16">
        <f>SUM($J$31:$J$37)-0.5*$J$37</f>
        <v/>
      </c>
      <c r="M37" s="16">
        <f>SUM($K$31:$K$37)-0.5*$K$37</f>
        <v/>
      </c>
      <c r="N37" s="16">
        <f>SUMPRODUCT($D$31:$D$37,$K$31:$K$37)-0.5*$D$37*$K$37</f>
        <v/>
      </c>
      <c r="O37" s="16">
        <f>SUMPRODUCT($E$31:$E$37,$J$31:$J$37)-0.5*$E$37*$J$37</f>
        <v/>
      </c>
      <c r="P37" s="16">
        <f>($N$37-$D$37*$M$37)-($O$37-$E$37*$L$37)</f>
        <v/>
      </c>
      <c r="Q37" s="16">
        <f>-$L$37*COS($F$37)-$M$37*SIN($F$37)</f>
        <v/>
      </c>
      <c r="R37" s="15">
        <f>-COS($F$37)</f>
        <v/>
      </c>
      <c r="S37" s="16">
        <f>-$P$37</f>
        <v/>
      </c>
      <c r="T37" s="15">
        <f>f_-$E$37</f>
        <v/>
      </c>
      <c r="U37" s="16">
        <f>$G$37/EI_</f>
        <v/>
      </c>
      <c r="V37" s="16">
        <f>$G$37/EA_</f>
        <v/>
      </c>
      <c r="W37" s="15">
        <f>$Q$37+P_fr*$R$37</f>
        <v/>
      </c>
      <c r="X37" s="15">
        <f>$S$37+P_fr*$T$37-Mc_fr</f>
        <v/>
      </c>
      <c r="Y37" s="15">
        <f>$W$37/h_calc-6*$X$37/h_calc^2</f>
        <v/>
      </c>
      <c r="Z37" s="15">
        <f>$W$37/h_calc+6*$X$37/h_calc^2</f>
        <v/>
      </c>
      <c r="AA37" s="16">
        <f>$T$37*$U$37</f>
        <v/>
      </c>
      <c r="AB37" s="16">
        <f>$S$37*$U$37</f>
        <v/>
      </c>
      <c r="AC37" s="16">
        <f>$T$37^2*$U$37+$R$37^2*$V$37</f>
        <v/>
      </c>
      <c r="AD37" s="16">
        <f>$T$37*$S$37*$U$37+$R$37*$Q$37*$V$37</f>
        <v/>
      </c>
      <c r="AE37" s="16">
        <f>$D$37*$K$37</f>
        <v/>
      </c>
      <c r="AF37" s="16">
        <f>$E$37*$J$37</f>
        <v/>
      </c>
    </row>
    <row r="38">
      <c r="A38" s="15" t="n">
        <v>8</v>
      </c>
      <c r="B38" s="15">
        <f>IF($A$38&lt;=20,1,IF($A$38&lt;=40,2,3))</f>
        <v/>
      </c>
      <c r="C38" s="15">
        <f>($A$38-20*($B$38-1)-0.5)/20*CHOOSE($B$38,R_load*alpha,TL,R_supp*alpha)</f>
        <v/>
      </c>
      <c r="D38" s="15">
        <f>CHOOSE($B$38,R_load*SIN($C$38/R_load),R_load*SIN(alpha)+$C$38*COS(alpha),c_-R_supp*SIN(alpha-$C$38/R_supp))</f>
        <v/>
      </c>
      <c r="E38" s="15">
        <f>CHOOSE($B$38,f_-R_load+R_load*COS($C$38/R_load),f_-R_load*(1-COS(alpha))-$C$38*SIN(alpha),-f_+R_supp-R_supp*COS(alpha-$C$38/R_supp))</f>
        <v/>
      </c>
      <c r="F38" s="15">
        <f>CHOOSE($B$38,-$C$38/R_load,-alpha,-(alpha-$C$38/R_supp))</f>
        <v/>
      </c>
      <c r="G38" s="15">
        <f>CHOOSE($B$38,R_load*alpha,TL,R_supp*alpha)/20</f>
        <v/>
      </c>
      <c r="H38" s="15">
        <f>$G$38*COS($F$38)</f>
        <v/>
      </c>
      <c r="I38" s="15">
        <f>$G$38*SIN($F$38)</f>
        <v/>
      </c>
      <c r="J38" s="16">
        <f>q_p*$I$38</f>
        <v/>
      </c>
      <c r="K38" s="16">
        <f>-q_p*$H$38</f>
        <v/>
      </c>
      <c r="L38" s="16">
        <f>SUM($J$31:$J$38)-0.5*$J$38</f>
        <v/>
      </c>
      <c r="M38" s="16">
        <f>SUM($K$31:$K$38)-0.5*$K$38</f>
        <v/>
      </c>
      <c r="N38" s="16">
        <f>SUMPRODUCT($D$31:$D$38,$K$31:$K$38)-0.5*$D$38*$K$38</f>
        <v/>
      </c>
      <c r="O38" s="16">
        <f>SUMPRODUCT($E$31:$E$38,$J$31:$J$38)-0.5*$E$38*$J$38</f>
        <v/>
      </c>
      <c r="P38" s="16">
        <f>($N$38-$D$38*$M$38)-($O$38-$E$38*$L$38)</f>
        <v/>
      </c>
      <c r="Q38" s="16">
        <f>-$L$38*COS($F$38)-$M$38*SIN($F$38)</f>
        <v/>
      </c>
      <c r="R38" s="15">
        <f>-COS($F$38)</f>
        <v/>
      </c>
      <c r="S38" s="16">
        <f>-$P$38</f>
        <v/>
      </c>
      <c r="T38" s="15">
        <f>f_-$E$38</f>
        <v/>
      </c>
      <c r="U38" s="16">
        <f>$G$38/EI_</f>
        <v/>
      </c>
      <c r="V38" s="16">
        <f>$G$38/EA_</f>
        <v/>
      </c>
      <c r="W38" s="15">
        <f>$Q$38+P_fr*$R$38</f>
        <v/>
      </c>
      <c r="X38" s="15">
        <f>$S$38+P_fr*$T$38-Mc_fr</f>
        <v/>
      </c>
      <c r="Y38" s="15">
        <f>$W$38/h_calc-6*$X$38/h_calc^2</f>
        <v/>
      </c>
      <c r="Z38" s="15">
        <f>$W$38/h_calc+6*$X$38/h_calc^2</f>
        <v/>
      </c>
      <c r="AA38" s="16">
        <f>$T$38*$U$38</f>
        <v/>
      </c>
      <c r="AB38" s="16">
        <f>$S$38*$U$38</f>
        <v/>
      </c>
      <c r="AC38" s="16">
        <f>$T$38^2*$U$38+$R$38^2*$V$38</f>
        <v/>
      </c>
      <c r="AD38" s="16">
        <f>$T$38*$S$38*$U$38+$R$38*$Q$38*$V$38</f>
        <v/>
      </c>
      <c r="AE38" s="16">
        <f>$D$38*$K$38</f>
        <v/>
      </c>
      <c r="AF38" s="16">
        <f>$E$38*$J$38</f>
        <v/>
      </c>
    </row>
    <row r="39">
      <c r="A39" s="15" t="n">
        <v>9</v>
      </c>
      <c r="B39" s="15">
        <f>IF($A$39&lt;=20,1,IF($A$39&lt;=40,2,3))</f>
        <v/>
      </c>
      <c r="C39" s="15">
        <f>($A$39-20*($B$39-1)-0.5)/20*CHOOSE($B$39,R_load*alpha,TL,R_supp*alpha)</f>
        <v/>
      </c>
      <c r="D39" s="15">
        <f>CHOOSE($B$39,R_load*SIN($C$39/R_load),R_load*SIN(alpha)+$C$39*COS(alpha),c_-R_supp*SIN(alpha-$C$39/R_supp))</f>
        <v/>
      </c>
      <c r="E39" s="15">
        <f>CHOOSE($B$39,f_-R_load+R_load*COS($C$39/R_load),f_-R_load*(1-COS(alpha))-$C$39*SIN(alpha),-f_+R_supp-R_supp*COS(alpha-$C$39/R_supp))</f>
        <v/>
      </c>
      <c r="F39" s="15">
        <f>CHOOSE($B$39,-$C$39/R_load,-alpha,-(alpha-$C$39/R_supp))</f>
        <v/>
      </c>
      <c r="G39" s="15">
        <f>CHOOSE($B$39,R_load*alpha,TL,R_supp*alpha)/20</f>
        <v/>
      </c>
      <c r="H39" s="15">
        <f>$G$39*COS($F$39)</f>
        <v/>
      </c>
      <c r="I39" s="15">
        <f>$G$39*SIN($F$39)</f>
        <v/>
      </c>
      <c r="J39" s="16">
        <f>q_p*$I$39</f>
        <v/>
      </c>
      <c r="K39" s="16">
        <f>-q_p*$H$39</f>
        <v/>
      </c>
      <c r="L39" s="16">
        <f>SUM($J$31:$J$39)-0.5*$J$39</f>
        <v/>
      </c>
      <c r="M39" s="16">
        <f>SUM($K$31:$K$39)-0.5*$K$39</f>
        <v/>
      </c>
      <c r="N39" s="16">
        <f>SUMPRODUCT($D$31:$D$39,$K$31:$K$39)-0.5*$D$39*$K$39</f>
        <v/>
      </c>
      <c r="O39" s="16">
        <f>SUMPRODUCT($E$31:$E$39,$J$31:$J$39)-0.5*$E$39*$J$39</f>
        <v/>
      </c>
      <c r="P39" s="16">
        <f>($N$39-$D$39*$M$39)-($O$39-$E$39*$L$39)</f>
        <v/>
      </c>
      <c r="Q39" s="16">
        <f>-$L$39*COS($F$39)-$M$39*SIN($F$39)</f>
        <v/>
      </c>
      <c r="R39" s="15">
        <f>-COS($F$39)</f>
        <v/>
      </c>
      <c r="S39" s="16">
        <f>-$P$39</f>
        <v/>
      </c>
      <c r="T39" s="15">
        <f>f_-$E$39</f>
        <v/>
      </c>
      <c r="U39" s="16">
        <f>$G$39/EI_</f>
        <v/>
      </c>
      <c r="V39" s="16">
        <f>$G$39/EA_</f>
        <v/>
      </c>
      <c r="W39" s="15">
        <f>$Q$39+P_fr*$R$39</f>
        <v/>
      </c>
      <c r="X39" s="15">
        <f>$S$39+P_fr*$T$39-Mc_fr</f>
        <v/>
      </c>
      <c r="Y39" s="15">
        <f>$W$39/h_calc-6*$X$39/h_calc^2</f>
        <v/>
      </c>
      <c r="Z39" s="15">
        <f>$W$39/h_calc+6*$X$39/h_calc^2</f>
        <v/>
      </c>
      <c r="AA39" s="16">
        <f>$T$39*$U$39</f>
        <v/>
      </c>
      <c r="AB39" s="16">
        <f>$S$39*$U$39</f>
        <v/>
      </c>
      <c r="AC39" s="16">
        <f>$T$39^2*$U$39+$R$39^2*$V$39</f>
        <v/>
      </c>
      <c r="AD39" s="16">
        <f>$T$39*$S$39*$U$39+$R$39*$Q$39*$V$39</f>
        <v/>
      </c>
      <c r="AE39" s="16">
        <f>$D$39*$K$39</f>
        <v/>
      </c>
      <c r="AF39" s="16">
        <f>$E$39*$J$39</f>
        <v/>
      </c>
    </row>
    <row r="40">
      <c r="A40" s="15" t="n">
        <v>10</v>
      </c>
      <c r="B40" s="15">
        <f>IF($A$40&lt;=20,1,IF($A$40&lt;=40,2,3))</f>
        <v/>
      </c>
      <c r="C40" s="15">
        <f>($A$40-20*($B$40-1)-0.5)/20*CHOOSE($B$40,R_load*alpha,TL,R_supp*alpha)</f>
        <v/>
      </c>
      <c r="D40" s="15">
        <f>CHOOSE($B$40,R_load*SIN($C$40/R_load),R_load*SIN(alpha)+$C$40*COS(alpha),c_-R_supp*SIN(alpha-$C$40/R_supp))</f>
        <v/>
      </c>
      <c r="E40" s="15">
        <f>CHOOSE($B$40,f_-R_load+R_load*COS($C$40/R_load),f_-R_load*(1-COS(alpha))-$C$40*SIN(alpha),-f_+R_supp-R_supp*COS(alpha-$C$40/R_supp))</f>
        <v/>
      </c>
      <c r="F40" s="15">
        <f>CHOOSE($B$40,-$C$40/R_load,-alpha,-(alpha-$C$40/R_supp))</f>
        <v/>
      </c>
      <c r="G40" s="15">
        <f>CHOOSE($B$40,R_load*alpha,TL,R_supp*alpha)/20</f>
        <v/>
      </c>
      <c r="H40" s="15">
        <f>$G$40*COS($F$40)</f>
        <v/>
      </c>
      <c r="I40" s="15">
        <f>$G$40*SIN($F$40)</f>
        <v/>
      </c>
      <c r="J40" s="16">
        <f>q_p*$I$40</f>
        <v/>
      </c>
      <c r="K40" s="16">
        <f>-q_p*$H$40</f>
        <v/>
      </c>
      <c r="L40" s="16">
        <f>SUM($J$31:$J$40)-0.5*$J$40</f>
        <v/>
      </c>
      <c r="M40" s="16">
        <f>SUM($K$31:$K$40)-0.5*$K$40</f>
        <v/>
      </c>
      <c r="N40" s="16">
        <f>SUMPRODUCT($D$31:$D$40,$K$31:$K$40)-0.5*$D$40*$K$40</f>
        <v/>
      </c>
      <c r="O40" s="16">
        <f>SUMPRODUCT($E$31:$E$40,$J$31:$J$40)-0.5*$E$40*$J$40</f>
        <v/>
      </c>
      <c r="P40" s="16">
        <f>($N$40-$D$40*$M$40)-($O$40-$E$40*$L$40)</f>
        <v/>
      </c>
      <c r="Q40" s="16">
        <f>-$L$40*COS($F$40)-$M$40*SIN($F$40)</f>
        <v/>
      </c>
      <c r="R40" s="15">
        <f>-COS($F$40)</f>
        <v/>
      </c>
      <c r="S40" s="16">
        <f>-$P$40</f>
        <v/>
      </c>
      <c r="T40" s="15">
        <f>f_-$E$40</f>
        <v/>
      </c>
      <c r="U40" s="16">
        <f>$G$40/EI_</f>
        <v/>
      </c>
      <c r="V40" s="16">
        <f>$G$40/EA_</f>
        <v/>
      </c>
      <c r="W40" s="15">
        <f>$Q$40+P_fr*$R$40</f>
        <v/>
      </c>
      <c r="X40" s="15">
        <f>$S$40+P_fr*$T$40-Mc_fr</f>
        <v/>
      </c>
      <c r="Y40" s="15">
        <f>$W$40/h_calc-6*$X$40/h_calc^2</f>
        <v/>
      </c>
      <c r="Z40" s="15">
        <f>$W$40/h_calc+6*$X$40/h_calc^2</f>
        <v/>
      </c>
      <c r="AA40" s="16">
        <f>$T$40*$U$40</f>
        <v/>
      </c>
      <c r="AB40" s="16">
        <f>$S$40*$U$40</f>
        <v/>
      </c>
      <c r="AC40" s="16">
        <f>$T$40^2*$U$40+$R$40^2*$V$40</f>
        <v/>
      </c>
      <c r="AD40" s="16">
        <f>$T$40*$S$40*$U$40+$R$40*$Q$40*$V$40</f>
        <v/>
      </c>
      <c r="AE40" s="16">
        <f>$D$40*$K$40</f>
        <v/>
      </c>
      <c r="AF40" s="16">
        <f>$E$40*$J$40</f>
        <v/>
      </c>
    </row>
    <row r="41">
      <c r="A41" s="15" t="n">
        <v>11</v>
      </c>
      <c r="B41" s="15">
        <f>IF($A$41&lt;=20,1,IF($A$41&lt;=40,2,3))</f>
        <v/>
      </c>
      <c r="C41" s="15">
        <f>($A$41-20*($B$41-1)-0.5)/20*CHOOSE($B$41,R_load*alpha,TL,R_supp*alpha)</f>
        <v/>
      </c>
      <c r="D41" s="15">
        <f>CHOOSE($B$41,R_load*SIN($C$41/R_load),R_load*SIN(alpha)+$C$41*COS(alpha),c_-R_supp*SIN(alpha-$C$41/R_supp))</f>
        <v/>
      </c>
      <c r="E41" s="15">
        <f>CHOOSE($B$41,f_-R_load+R_load*COS($C$41/R_load),f_-R_load*(1-COS(alpha))-$C$41*SIN(alpha),-f_+R_supp-R_supp*COS(alpha-$C$41/R_supp))</f>
        <v/>
      </c>
      <c r="F41" s="15">
        <f>CHOOSE($B$41,-$C$41/R_load,-alpha,-(alpha-$C$41/R_supp))</f>
        <v/>
      </c>
      <c r="G41" s="15">
        <f>CHOOSE($B$41,R_load*alpha,TL,R_supp*alpha)/20</f>
        <v/>
      </c>
      <c r="H41" s="15">
        <f>$G$41*COS($F$41)</f>
        <v/>
      </c>
      <c r="I41" s="15">
        <f>$G$41*SIN($F$41)</f>
        <v/>
      </c>
      <c r="J41" s="16">
        <f>q_p*$I$41</f>
        <v/>
      </c>
      <c r="K41" s="16">
        <f>-q_p*$H$41</f>
        <v/>
      </c>
      <c r="L41" s="16">
        <f>SUM($J$31:$J$41)-0.5*$J$41</f>
        <v/>
      </c>
      <c r="M41" s="16">
        <f>SUM($K$31:$K$41)-0.5*$K$41</f>
        <v/>
      </c>
      <c r="N41" s="16">
        <f>SUMPRODUCT($D$31:$D$41,$K$31:$K$41)-0.5*$D$41*$K$41</f>
        <v/>
      </c>
      <c r="O41" s="16">
        <f>SUMPRODUCT($E$31:$E$41,$J$31:$J$41)-0.5*$E$41*$J$41</f>
        <v/>
      </c>
      <c r="P41" s="16">
        <f>($N$41-$D$41*$M$41)-($O$41-$E$41*$L$41)</f>
        <v/>
      </c>
      <c r="Q41" s="16">
        <f>-$L$41*COS($F$41)-$M$41*SIN($F$41)</f>
        <v/>
      </c>
      <c r="R41" s="15">
        <f>-COS($F$41)</f>
        <v/>
      </c>
      <c r="S41" s="16">
        <f>-$P$41</f>
        <v/>
      </c>
      <c r="T41" s="15">
        <f>f_-$E$41</f>
        <v/>
      </c>
      <c r="U41" s="16">
        <f>$G$41/EI_</f>
        <v/>
      </c>
      <c r="V41" s="16">
        <f>$G$41/EA_</f>
        <v/>
      </c>
      <c r="W41" s="15">
        <f>$Q$41+P_fr*$R$41</f>
        <v/>
      </c>
      <c r="X41" s="15">
        <f>$S$41+P_fr*$T$41-Mc_fr</f>
        <v/>
      </c>
      <c r="Y41" s="15">
        <f>$W$41/h_calc-6*$X$41/h_calc^2</f>
        <v/>
      </c>
      <c r="Z41" s="15">
        <f>$W$41/h_calc+6*$X$41/h_calc^2</f>
        <v/>
      </c>
      <c r="AA41" s="16">
        <f>$T$41*$U$41</f>
        <v/>
      </c>
      <c r="AB41" s="16">
        <f>$S$41*$U$41</f>
        <v/>
      </c>
      <c r="AC41" s="16">
        <f>$T$41^2*$U$41+$R$41^2*$V$41</f>
        <v/>
      </c>
      <c r="AD41" s="16">
        <f>$T$41*$S$41*$U$41+$R$41*$Q$41*$V$41</f>
        <v/>
      </c>
      <c r="AE41" s="16">
        <f>$D$41*$K$41</f>
        <v/>
      </c>
      <c r="AF41" s="16">
        <f>$E$41*$J$41</f>
        <v/>
      </c>
    </row>
    <row r="42">
      <c r="A42" s="15" t="n">
        <v>12</v>
      </c>
      <c r="B42" s="15">
        <f>IF($A$42&lt;=20,1,IF($A$42&lt;=40,2,3))</f>
        <v/>
      </c>
      <c r="C42" s="15">
        <f>($A$42-20*($B$42-1)-0.5)/20*CHOOSE($B$42,R_load*alpha,TL,R_supp*alpha)</f>
        <v/>
      </c>
      <c r="D42" s="15">
        <f>CHOOSE($B$42,R_load*SIN($C$42/R_load),R_load*SIN(alpha)+$C$42*COS(alpha),c_-R_supp*SIN(alpha-$C$42/R_supp))</f>
        <v/>
      </c>
      <c r="E42" s="15">
        <f>CHOOSE($B$42,f_-R_load+R_load*COS($C$42/R_load),f_-R_load*(1-COS(alpha))-$C$42*SIN(alpha),-f_+R_supp-R_supp*COS(alpha-$C$42/R_supp))</f>
        <v/>
      </c>
      <c r="F42" s="15">
        <f>CHOOSE($B$42,-$C$42/R_load,-alpha,-(alpha-$C$42/R_supp))</f>
        <v/>
      </c>
      <c r="G42" s="15">
        <f>CHOOSE($B$42,R_load*alpha,TL,R_supp*alpha)/20</f>
        <v/>
      </c>
      <c r="H42" s="15">
        <f>$G$42*COS($F$42)</f>
        <v/>
      </c>
      <c r="I42" s="15">
        <f>$G$42*SIN($F$42)</f>
        <v/>
      </c>
      <c r="J42" s="16">
        <f>q_p*$I$42</f>
        <v/>
      </c>
      <c r="K42" s="16">
        <f>-q_p*$H$42</f>
        <v/>
      </c>
      <c r="L42" s="16">
        <f>SUM($J$31:$J$42)-0.5*$J$42</f>
        <v/>
      </c>
      <c r="M42" s="16">
        <f>SUM($K$31:$K$42)-0.5*$K$42</f>
        <v/>
      </c>
      <c r="N42" s="16">
        <f>SUMPRODUCT($D$31:$D$42,$K$31:$K$42)-0.5*$D$42*$K$42</f>
        <v/>
      </c>
      <c r="O42" s="16">
        <f>SUMPRODUCT($E$31:$E$42,$J$31:$J$42)-0.5*$E$42*$J$42</f>
        <v/>
      </c>
      <c r="P42" s="16">
        <f>($N$42-$D$42*$M$42)-($O$42-$E$42*$L$42)</f>
        <v/>
      </c>
      <c r="Q42" s="16">
        <f>-$L$42*COS($F$42)-$M$42*SIN($F$42)</f>
        <v/>
      </c>
      <c r="R42" s="15">
        <f>-COS($F$42)</f>
        <v/>
      </c>
      <c r="S42" s="16">
        <f>-$P$42</f>
        <v/>
      </c>
      <c r="T42" s="15">
        <f>f_-$E$42</f>
        <v/>
      </c>
      <c r="U42" s="16">
        <f>$G$42/EI_</f>
        <v/>
      </c>
      <c r="V42" s="16">
        <f>$G$42/EA_</f>
        <v/>
      </c>
      <c r="W42" s="15">
        <f>$Q$42+P_fr*$R$42</f>
        <v/>
      </c>
      <c r="X42" s="15">
        <f>$S$42+P_fr*$T$42-Mc_fr</f>
        <v/>
      </c>
      <c r="Y42" s="15">
        <f>$W$42/h_calc-6*$X$42/h_calc^2</f>
        <v/>
      </c>
      <c r="Z42" s="15">
        <f>$W$42/h_calc+6*$X$42/h_calc^2</f>
        <v/>
      </c>
      <c r="AA42" s="16">
        <f>$T$42*$U$42</f>
        <v/>
      </c>
      <c r="AB42" s="16">
        <f>$S$42*$U$42</f>
        <v/>
      </c>
      <c r="AC42" s="16">
        <f>$T$42^2*$U$42+$R$42^2*$V$42</f>
        <v/>
      </c>
      <c r="AD42" s="16">
        <f>$T$42*$S$42*$U$42+$R$42*$Q$42*$V$42</f>
        <v/>
      </c>
      <c r="AE42" s="16">
        <f>$D$42*$K$42</f>
        <v/>
      </c>
      <c r="AF42" s="16">
        <f>$E$42*$J$42</f>
        <v/>
      </c>
    </row>
    <row r="43">
      <c r="A43" s="15" t="n">
        <v>13</v>
      </c>
      <c r="B43" s="15">
        <f>IF($A$43&lt;=20,1,IF($A$43&lt;=40,2,3))</f>
        <v/>
      </c>
      <c r="C43" s="15">
        <f>($A$43-20*($B$43-1)-0.5)/20*CHOOSE($B$43,R_load*alpha,TL,R_supp*alpha)</f>
        <v/>
      </c>
      <c r="D43" s="15">
        <f>CHOOSE($B$43,R_load*SIN($C$43/R_load),R_load*SIN(alpha)+$C$43*COS(alpha),c_-R_supp*SIN(alpha-$C$43/R_supp))</f>
        <v/>
      </c>
      <c r="E43" s="15">
        <f>CHOOSE($B$43,f_-R_load+R_load*COS($C$43/R_load),f_-R_load*(1-COS(alpha))-$C$43*SIN(alpha),-f_+R_supp-R_supp*COS(alpha-$C$43/R_supp))</f>
        <v/>
      </c>
      <c r="F43" s="15">
        <f>CHOOSE($B$43,-$C$43/R_load,-alpha,-(alpha-$C$43/R_supp))</f>
        <v/>
      </c>
      <c r="G43" s="15">
        <f>CHOOSE($B$43,R_load*alpha,TL,R_supp*alpha)/20</f>
        <v/>
      </c>
      <c r="H43" s="15">
        <f>$G$43*COS($F$43)</f>
        <v/>
      </c>
      <c r="I43" s="15">
        <f>$G$43*SIN($F$43)</f>
        <v/>
      </c>
      <c r="J43" s="16">
        <f>q_p*$I$43</f>
        <v/>
      </c>
      <c r="K43" s="16">
        <f>-q_p*$H$43</f>
        <v/>
      </c>
      <c r="L43" s="16">
        <f>SUM($J$31:$J$43)-0.5*$J$43</f>
        <v/>
      </c>
      <c r="M43" s="16">
        <f>SUM($K$31:$K$43)-0.5*$K$43</f>
        <v/>
      </c>
      <c r="N43" s="16">
        <f>SUMPRODUCT($D$31:$D$43,$K$31:$K$43)-0.5*$D$43*$K$43</f>
        <v/>
      </c>
      <c r="O43" s="16">
        <f>SUMPRODUCT($E$31:$E$43,$J$31:$J$43)-0.5*$E$43*$J$43</f>
        <v/>
      </c>
      <c r="P43" s="16">
        <f>($N$43-$D$43*$M$43)-($O$43-$E$43*$L$43)</f>
        <v/>
      </c>
      <c r="Q43" s="16">
        <f>-$L$43*COS($F$43)-$M$43*SIN($F$43)</f>
        <v/>
      </c>
      <c r="R43" s="15">
        <f>-COS($F$43)</f>
        <v/>
      </c>
      <c r="S43" s="16">
        <f>-$P$43</f>
        <v/>
      </c>
      <c r="T43" s="15">
        <f>f_-$E$43</f>
        <v/>
      </c>
      <c r="U43" s="16">
        <f>$G$43/EI_</f>
        <v/>
      </c>
      <c r="V43" s="16">
        <f>$G$43/EA_</f>
        <v/>
      </c>
      <c r="W43" s="15">
        <f>$Q$43+P_fr*$R$43</f>
        <v/>
      </c>
      <c r="X43" s="15">
        <f>$S$43+P_fr*$T$43-Mc_fr</f>
        <v/>
      </c>
      <c r="Y43" s="15">
        <f>$W$43/h_calc-6*$X$43/h_calc^2</f>
        <v/>
      </c>
      <c r="Z43" s="15">
        <f>$W$43/h_calc+6*$X$43/h_calc^2</f>
        <v/>
      </c>
      <c r="AA43" s="16">
        <f>$T$43*$U$43</f>
        <v/>
      </c>
      <c r="AB43" s="16">
        <f>$S$43*$U$43</f>
        <v/>
      </c>
      <c r="AC43" s="16">
        <f>$T$43^2*$U$43+$R$43^2*$V$43</f>
        <v/>
      </c>
      <c r="AD43" s="16">
        <f>$T$43*$S$43*$U$43+$R$43*$Q$43*$V$43</f>
        <v/>
      </c>
      <c r="AE43" s="16">
        <f>$D$43*$K$43</f>
        <v/>
      </c>
      <c r="AF43" s="16">
        <f>$E$43*$J$43</f>
        <v/>
      </c>
    </row>
    <row r="44">
      <c r="A44" s="15" t="n">
        <v>14</v>
      </c>
      <c r="B44" s="15">
        <f>IF($A$44&lt;=20,1,IF($A$44&lt;=40,2,3))</f>
        <v/>
      </c>
      <c r="C44" s="15">
        <f>($A$44-20*($B$44-1)-0.5)/20*CHOOSE($B$44,R_load*alpha,TL,R_supp*alpha)</f>
        <v/>
      </c>
      <c r="D44" s="15">
        <f>CHOOSE($B$44,R_load*SIN($C$44/R_load),R_load*SIN(alpha)+$C$44*COS(alpha),c_-R_supp*SIN(alpha-$C$44/R_supp))</f>
        <v/>
      </c>
      <c r="E44" s="15">
        <f>CHOOSE($B$44,f_-R_load+R_load*COS($C$44/R_load),f_-R_load*(1-COS(alpha))-$C$44*SIN(alpha),-f_+R_supp-R_supp*COS(alpha-$C$44/R_supp))</f>
        <v/>
      </c>
      <c r="F44" s="15">
        <f>CHOOSE($B$44,-$C$44/R_load,-alpha,-(alpha-$C$44/R_supp))</f>
        <v/>
      </c>
      <c r="G44" s="15">
        <f>CHOOSE($B$44,R_load*alpha,TL,R_supp*alpha)/20</f>
        <v/>
      </c>
      <c r="H44" s="15">
        <f>$G$44*COS($F$44)</f>
        <v/>
      </c>
      <c r="I44" s="15">
        <f>$G$44*SIN($F$44)</f>
        <v/>
      </c>
      <c r="J44" s="16">
        <f>q_p*$I$44</f>
        <v/>
      </c>
      <c r="K44" s="16">
        <f>-q_p*$H$44</f>
        <v/>
      </c>
      <c r="L44" s="16">
        <f>SUM($J$31:$J$44)-0.5*$J$44</f>
        <v/>
      </c>
      <c r="M44" s="16">
        <f>SUM($K$31:$K$44)-0.5*$K$44</f>
        <v/>
      </c>
      <c r="N44" s="16">
        <f>SUMPRODUCT($D$31:$D$44,$K$31:$K$44)-0.5*$D$44*$K$44</f>
        <v/>
      </c>
      <c r="O44" s="16">
        <f>SUMPRODUCT($E$31:$E$44,$J$31:$J$44)-0.5*$E$44*$J$44</f>
        <v/>
      </c>
      <c r="P44" s="16">
        <f>($N$44-$D$44*$M$44)-($O$44-$E$44*$L$44)</f>
        <v/>
      </c>
      <c r="Q44" s="16">
        <f>-$L$44*COS($F$44)-$M$44*SIN($F$44)</f>
        <v/>
      </c>
      <c r="R44" s="15">
        <f>-COS($F$44)</f>
        <v/>
      </c>
      <c r="S44" s="16">
        <f>-$P$44</f>
        <v/>
      </c>
      <c r="T44" s="15">
        <f>f_-$E$44</f>
        <v/>
      </c>
      <c r="U44" s="16">
        <f>$G$44/EI_</f>
        <v/>
      </c>
      <c r="V44" s="16">
        <f>$G$44/EA_</f>
        <v/>
      </c>
      <c r="W44" s="15">
        <f>$Q$44+P_fr*$R$44</f>
        <v/>
      </c>
      <c r="X44" s="15">
        <f>$S$44+P_fr*$T$44-Mc_fr</f>
        <v/>
      </c>
      <c r="Y44" s="15">
        <f>$W$44/h_calc-6*$X$44/h_calc^2</f>
        <v/>
      </c>
      <c r="Z44" s="15">
        <f>$W$44/h_calc+6*$X$44/h_calc^2</f>
        <v/>
      </c>
      <c r="AA44" s="16">
        <f>$T$44*$U$44</f>
        <v/>
      </c>
      <c r="AB44" s="16">
        <f>$S$44*$U$44</f>
        <v/>
      </c>
      <c r="AC44" s="16">
        <f>$T$44^2*$U$44+$R$44^2*$V$44</f>
        <v/>
      </c>
      <c r="AD44" s="16">
        <f>$T$44*$S$44*$U$44+$R$44*$Q$44*$V$44</f>
        <v/>
      </c>
      <c r="AE44" s="16">
        <f>$D$44*$K$44</f>
        <v/>
      </c>
      <c r="AF44" s="16">
        <f>$E$44*$J$44</f>
        <v/>
      </c>
    </row>
    <row r="45">
      <c r="A45" s="15" t="n">
        <v>15</v>
      </c>
      <c r="B45" s="15">
        <f>IF($A$45&lt;=20,1,IF($A$45&lt;=40,2,3))</f>
        <v/>
      </c>
      <c r="C45" s="15">
        <f>($A$45-20*($B$45-1)-0.5)/20*CHOOSE($B$45,R_load*alpha,TL,R_supp*alpha)</f>
        <v/>
      </c>
      <c r="D45" s="15">
        <f>CHOOSE($B$45,R_load*SIN($C$45/R_load),R_load*SIN(alpha)+$C$45*COS(alpha),c_-R_supp*SIN(alpha-$C$45/R_supp))</f>
        <v/>
      </c>
      <c r="E45" s="15">
        <f>CHOOSE($B$45,f_-R_load+R_load*COS($C$45/R_load),f_-R_load*(1-COS(alpha))-$C$45*SIN(alpha),-f_+R_supp-R_supp*COS(alpha-$C$45/R_supp))</f>
        <v/>
      </c>
      <c r="F45" s="15">
        <f>CHOOSE($B$45,-$C$45/R_load,-alpha,-(alpha-$C$45/R_supp))</f>
        <v/>
      </c>
      <c r="G45" s="15">
        <f>CHOOSE($B$45,R_load*alpha,TL,R_supp*alpha)/20</f>
        <v/>
      </c>
      <c r="H45" s="15">
        <f>$G$45*COS($F$45)</f>
        <v/>
      </c>
      <c r="I45" s="15">
        <f>$G$45*SIN($F$45)</f>
        <v/>
      </c>
      <c r="J45" s="16">
        <f>q_p*$I$45</f>
        <v/>
      </c>
      <c r="K45" s="16">
        <f>-q_p*$H$45</f>
        <v/>
      </c>
      <c r="L45" s="16">
        <f>SUM($J$31:$J$45)-0.5*$J$45</f>
        <v/>
      </c>
      <c r="M45" s="16">
        <f>SUM($K$31:$K$45)-0.5*$K$45</f>
        <v/>
      </c>
      <c r="N45" s="16">
        <f>SUMPRODUCT($D$31:$D$45,$K$31:$K$45)-0.5*$D$45*$K$45</f>
        <v/>
      </c>
      <c r="O45" s="16">
        <f>SUMPRODUCT($E$31:$E$45,$J$31:$J$45)-0.5*$E$45*$J$45</f>
        <v/>
      </c>
      <c r="P45" s="16">
        <f>($N$45-$D$45*$M$45)-($O$45-$E$45*$L$45)</f>
        <v/>
      </c>
      <c r="Q45" s="16">
        <f>-$L$45*COS($F$45)-$M$45*SIN($F$45)</f>
        <v/>
      </c>
      <c r="R45" s="15">
        <f>-COS($F$45)</f>
        <v/>
      </c>
      <c r="S45" s="16">
        <f>-$P$45</f>
        <v/>
      </c>
      <c r="T45" s="15">
        <f>f_-$E$45</f>
        <v/>
      </c>
      <c r="U45" s="16">
        <f>$G$45/EI_</f>
        <v/>
      </c>
      <c r="V45" s="16">
        <f>$G$45/EA_</f>
        <v/>
      </c>
      <c r="W45" s="15">
        <f>$Q$45+P_fr*$R$45</f>
        <v/>
      </c>
      <c r="X45" s="15">
        <f>$S$45+P_fr*$T$45-Mc_fr</f>
        <v/>
      </c>
      <c r="Y45" s="15">
        <f>$W$45/h_calc-6*$X$45/h_calc^2</f>
        <v/>
      </c>
      <c r="Z45" s="15">
        <f>$W$45/h_calc+6*$X$45/h_calc^2</f>
        <v/>
      </c>
      <c r="AA45" s="16">
        <f>$T$45*$U$45</f>
        <v/>
      </c>
      <c r="AB45" s="16">
        <f>$S$45*$U$45</f>
        <v/>
      </c>
      <c r="AC45" s="16">
        <f>$T$45^2*$U$45+$R$45^2*$V$45</f>
        <v/>
      </c>
      <c r="AD45" s="16">
        <f>$T$45*$S$45*$U$45+$R$45*$Q$45*$V$45</f>
        <v/>
      </c>
      <c r="AE45" s="16">
        <f>$D$45*$K$45</f>
        <v/>
      </c>
      <c r="AF45" s="16">
        <f>$E$45*$J$45</f>
        <v/>
      </c>
    </row>
    <row r="46">
      <c r="A46" s="15" t="n">
        <v>16</v>
      </c>
      <c r="B46" s="15">
        <f>IF($A$46&lt;=20,1,IF($A$46&lt;=40,2,3))</f>
        <v/>
      </c>
      <c r="C46" s="15">
        <f>($A$46-20*($B$46-1)-0.5)/20*CHOOSE($B$46,R_load*alpha,TL,R_supp*alpha)</f>
        <v/>
      </c>
      <c r="D46" s="15">
        <f>CHOOSE($B$46,R_load*SIN($C$46/R_load),R_load*SIN(alpha)+$C$46*COS(alpha),c_-R_supp*SIN(alpha-$C$46/R_supp))</f>
        <v/>
      </c>
      <c r="E46" s="15">
        <f>CHOOSE($B$46,f_-R_load+R_load*COS($C$46/R_load),f_-R_load*(1-COS(alpha))-$C$46*SIN(alpha),-f_+R_supp-R_supp*COS(alpha-$C$46/R_supp))</f>
        <v/>
      </c>
      <c r="F46" s="15">
        <f>CHOOSE($B$46,-$C$46/R_load,-alpha,-(alpha-$C$46/R_supp))</f>
        <v/>
      </c>
      <c r="G46" s="15">
        <f>CHOOSE($B$46,R_load*alpha,TL,R_supp*alpha)/20</f>
        <v/>
      </c>
      <c r="H46" s="15">
        <f>$G$46*COS($F$46)</f>
        <v/>
      </c>
      <c r="I46" s="15">
        <f>$G$46*SIN($F$46)</f>
        <v/>
      </c>
      <c r="J46" s="16">
        <f>q_p*$I$46</f>
        <v/>
      </c>
      <c r="K46" s="16">
        <f>-q_p*$H$46</f>
        <v/>
      </c>
      <c r="L46" s="16">
        <f>SUM($J$31:$J$46)-0.5*$J$46</f>
        <v/>
      </c>
      <c r="M46" s="16">
        <f>SUM($K$31:$K$46)-0.5*$K$46</f>
        <v/>
      </c>
      <c r="N46" s="16">
        <f>SUMPRODUCT($D$31:$D$46,$K$31:$K$46)-0.5*$D$46*$K$46</f>
        <v/>
      </c>
      <c r="O46" s="16">
        <f>SUMPRODUCT($E$31:$E$46,$J$31:$J$46)-0.5*$E$46*$J$46</f>
        <v/>
      </c>
      <c r="P46" s="16">
        <f>($N$46-$D$46*$M$46)-($O$46-$E$46*$L$46)</f>
        <v/>
      </c>
      <c r="Q46" s="16">
        <f>-$L$46*COS($F$46)-$M$46*SIN($F$46)</f>
        <v/>
      </c>
      <c r="R46" s="15">
        <f>-COS($F$46)</f>
        <v/>
      </c>
      <c r="S46" s="16">
        <f>-$P$46</f>
        <v/>
      </c>
      <c r="T46" s="15">
        <f>f_-$E$46</f>
        <v/>
      </c>
      <c r="U46" s="16">
        <f>$G$46/EI_</f>
        <v/>
      </c>
      <c r="V46" s="16">
        <f>$G$46/EA_</f>
        <v/>
      </c>
      <c r="W46" s="15">
        <f>$Q$46+P_fr*$R$46</f>
        <v/>
      </c>
      <c r="X46" s="15">
        <f>$S$46+P_fr*$T$46-Mc_fr</f>
        <v/>
      </c>
      <c r="Y46" s="15">
        <f>$W$46/h_calc-6*$X$46/h_calc^2</f>
        <v/>
      </c>
      <c r="Z46" s="15">
        <f>$W$46/h_calc+6*$X$46/h_calc^2</f>
        <v/>
      </c>
      <c r="AA46" s="16">
        <f>$T$46*$U$46</f>
        <v/>
      </c>
      <c r="AB46" s="16">
        <f>$S$46*$U$46</f>
        <v/>
      </c>
      <c r="AC46" s="16">
        <f>$T$46^2*$U$46+$R$46^2*$V$46</f>
        <v/>
      </c>
      <c r="AD46" s="16">
        <f>$T$46*$S$46*$U$46+$R$46*$Q$46*$V$46</f>
        <v/>
      </c>
      <c r="AE46" s="16">
        <f>$D$46*$K$46</f>
        <v/>
      </c>
      <c r="AF46" s="16">
        <f>$E$46*$J$46</f>
        <v/>
      </c>
    </row>
    <row r="47">
      <c r="A47" s="15" t="n">
        <v>17</v>
      </c>
      <c r="B47" s="15">
        <f>IF($A$47&lt;=20,1,IF($A$47&lt;=40,2,3))</f>
        <v/>
      </c>
      <c r="C47" s="15">
        <f>($A$47-20*($B$47-1)-0.5)/20*CHOOSE($B$47,R_load*alpha,TL,R_supp*alpha)</f>
        <v/>
      </c>
      <c r="D47" s="15">
        <f>CHOOSE($B$47,R_load*SIN($C$47/R_load),R_load*SIN(alpha)+$C$47*COS(alpha),c_-R_supp*SIN(alpha-$C$47/R_supp))</f>
        <v/>
      </c>
      <c r="E47" s="15">
        <f>CHOOSE($B$47,f_-R_load+R_load*COS($C$47/R_load),f_-R_load*(1-COS(alpha))-$C$47*SIN(alpha),-f_+R_supp-R_supp*COS(alpha-$C$47/R_supp))</f>
        <v/>
      </c>
      <c r="F47" s="15">
        <f>CHOOSE($B$47,-$C$47/R_load,-alpha,-(alpha-$C$47/R_supp))</f>
        <v/>
      </c>
      <c r="G47" s="15">
        <f>CHOOSE($B$47,R_load*alpha,TL,R_supp*alpha)/20</f>
        <v/>
      </c>
      <c r="H47" s="15">
        <f>$G$47*COS($F$47)</f>
        <v/>
      </c>
      <c r="I47" s="15">
        <f>$G$47*SIN($F$47)</f>
        <v/>
      </c>
      <c r="J47" s="16">
        <f>q_p*$I$47</f>
        <v/>
      </c>
      <c r="K47" s="16">
        <f>-q_p*$H$47</f>
        <v/>
      </c>
      <c r="L47" s="16">
        <f>SUM($J$31:$J$47)-0.5*$J$47</f>
        <v/>
      </c>
      <c r="M47" s="16">
        <f>SUM($K$31:$K$47)-0.5*$K$47</f>
        <v/>
      </c>
      <c r="N47" s="16">
        <f>SUMPRODUCT($D$31:$D$47,$K$31:$K$47)-0.5*$D$47*$K$47</f>
        <v/>
      </c>
      <c r="O47" s="16">
        <f>SUMPRODUCT($E$31:$E$47,$J$31:$J$47)-0.5*$E$47*$J$47</f>
        <v/>
      </c>
      <c r="P47" s="16">
        <f>($N$47-$D$47*$M$47)-($O$47-$E$47*$L$47)</f>
        <v/>
      </c>
      <c r="Q47" s="16">
        <f>-$L$47*COS($F$47)-$M$47*SIN($F$47)</f>
        <v/>
      </c>
      <c r="R47" s="15">
        <f>-COS($F$47)</f>
        <v/>
      </c>
      <c r="S47" s="16">
        <f>-$P$47</f>
        <v/>
      </c>
      <c r="T47" s="15">
        <f>f_-$E$47</f>
        <v/>
      </c>
      <c r="U47" s="16">
        <f>$G$47/EI_</f>
        <v/>
      </c>
      <c r="V47" s="16">
        <f>$G$47/EA_</f>
        <v/>
      </c>
      <c r="W47" s="15">
        <f>$Q$47+P_fr*$R$47</f>
        <v/>
      </c>
      <c r="X47" s="15">
        <f>$S$47+P_fr*$T$47-Mc_fr</f>
        <v/>
      </c>
      <c r="Y47" s="15">
        <f>$W$47/h_calc-6*$X$47/h_calc^2</f>
        <v/>
      </c>
      <c r="Z47" s="15">
        <f>$W$47/h_calc+6*$X$47/h_calc^2</f>
        <v/>
      </c>
      <c r="AA47" s="16">
        <f>$T$47*$U$47</f>
        <v/>
      </c>
      <c r="AB47" s="16">
        <f>$S$47*$U$47</f>
        <v/>
      </c>
      <c r="AC47" s="16">
        <f>$T$47^2*$U$47+$R$47^2*$V$47</f>
        <v/>
      </c>
      <c r="AD47" s="16">
        <f>$T$47*$S$47*$U$47+$R$47*$Q$47*$V$47</f>
        <v/>
      </c>
      <c r="AE47" s="16">
        <f>$D$47*$K$47</f>
        <v/>
      </c>
      <c r="AF47" s="16">
        <f>$E$47*$J$47</f>
        <v/>
      </c>
    </row>
    <row r="48">
      <c r="A48" s="15" t="n">
        <v>18</v>
      </c>
      <c r="B48" s="15">
        <f>IF($A$48&lt;=20,1,IF($A$48&lt;=40,2,3))</f>
        <v/>
      </c>
      <c r="C48" s="15">
        <f>($A$48-20*($B$48-1)-0.5)/20*CHOOSE($B$48,R_load*alpha,TL,R_supp*alpha)</f>
        <v/>
      </c>
      <c r="D48" s="15">
        <f>CHOOSE($B$48,R_load*SIN($C$48/R_load),R_load*SIN(alpha)+$C$48*COS(alpha),c_-R_supp*SIN(alpha-$C$48/R_supp))</f>
        <v/>
      </c>
      <c r="E48" s="15">
        <f>CHOOSE($B$48,f_-R_load+R_load*COS($C$48/R_load),f_-R_load*(1-COS(alpha))-$C$48*SIN(alpha),-f_+R_supp-R_supp*COS(alpha-$C$48/R_supp))</f>
        <v/>
      </c>
      <c r="F48" s="15">
        <f>CHOOSE($B$48,-$C$48/R_load,-alpha,-(alpha-$C$48/R_supp))</f>
        <v/>
      </c>
      <c r="G48" s="15">
        <f>CHOOSE($B$48,R_load*alpha,TL,R_supp*alpha)/20</f>
        <v/>
      </c>
      <c r="H48" s="15">
        <f>$G$48*COS($F$48)</f>
        <v/>
      </c>
      <c r="I48" s="15">
        <f>$G$48*SIN($F$48)</f>
        <v/>
      </c>
      <c r="J48" s="16">
        <f>q_p*$I$48</f>
        <v/>
      </c>
      <c r="K48" s="16">
        <f>-q_p*$H$48</f>
        <v/>
      </c>
      <c r="L48" s="16">
        <f>SUM($J$31:$J$48)-0.5*$J$48</f>
        <v/>
      </c>
      <c r="M48" s="16">
        <f>SUM($K$31:$K$48)-0.5*$K$48</f>
        <v/>
      </c>
      <c r="N48" s="16">
        <f>SUMPRODUCT($D$31:$D$48,$K$31:$K$48)-0.5*$D$48*$K$48</f>
        <v/>
      </c>
      <c r="O48" s="16">
        <f>SUMPRODUCT($E$31:$E$48,$J$31:$J$48)-0.5*$E$48*$J$48</f>
        <v/>
      </c>
      <c r="P48" s="16">
        <f>($N$48-$D$48*$M$48)-($O$48-$E$48*$L$48)</f>
        <v/>
      </c>
      <c r="Q48" s="16">
        <f>-$L$48*COS($F$48)-$M$48*SIN($F$48)</f>
        <v/>
      </c>
      <c r="R48" s="15">
        <f>-COS($F$48)</f>
        <v/>
      </c>
      <c r="S48" s="16">
        <f>-$P$48</f>
        <v/>
      </c>
      <c r="T48" s="15">
        <f>f_-$E$48</f>
        <v/>
      </c>
      <c r="U48" s="16">
        <f>$G$48/EI_</f>
        <v/>
      </c>
      <c r="V48" s="16">
        <f>$G$48/EA_</f>
        <v/>
      </c>
      <c r="W48" s="15">
        <f>$Q$48+P_fr*$R$48</f>
        <v/>
      </c>
      <c r="X48" s="15">
        <f>$S$48+P_fr*$T$48-Mc_fr</f>
        <v/>
      </c>
      <c r="Y48" s="15">
        <f>$W$48/h_calc-6*$X$48/h_calc^2</f>
        <v/>
      </c>
      <c r="Z48" s="15">
        <f>$W$48/h_calc+6*$X$48/h_calc^2</f>
        <v/>
      </c>
      <c r="AA48" s="16">
        <f>$T$48*$U$48</f>
        <v/>
      </c>
      <c r="AB48" s="16">
        <f>$S$48*$U$48</f>
        <v/>
      </c>
      <c r="AC48" s="16">
        <f>$T$48^2*$U$48+$R$48^2*$V$48</f>
        <v/>
      </c>
      <c r="AD48" s="16">
        <f>$T$48*$S$48*$U$48+$R$48*$Q$48*$V$48</f>
        <v/>
      </c>
      <c r="AE48" s="16">
        <f>$D$48*$K$48</f>
        <v/>
      </c>
      <c r="AF48" s="16">
        <f>$E$48*$J$48</f>
        <v/>
      </c>
    </row>
    <row r="49">
      <c r="A49" s="15" t="n">
        <v>19</v>
      </c>
      <c r="B49" s="15">
        <f>IF($A$49&lt;=20,1,IF($A$49&lt;=40,2,3))</f>
        <v/>
      </c>
      <c r="C49" s="15">
        <f>($A$49-20*($B$49-1)-0.5)/20*CHOOSE($B$49,R_load*alpha,TL,R_supp*alpha)</f>
        <v/>
      </c>
      <c r="D49" s="15">
        <f>CHOOSE($B$49,R_load*SIN($C$49/R_load),R_load*SIN(alpha)+$C$49*COS(alpha),c_-R_supp*SIN(alpha-$C$49/R_supp))</f>
        <v/>
      </c>
      <c r="E49" s="15">
        <f>CHOOSE($B$49,f_-R_load+R_load*COS($C$49/R_load),f_-R_load*(1-COS(alpha))-$C$49*SIN(alpha),-f_+R_supp-R_supp*COS(alpha-$C$49/R_supp))</f>
        <v/>
      </c>
      <c r="F49" s="15">
        <f>CHOOSE($B$49,-$C$49/R_load,-alpha,-(alpha-$C$49/R_supp))</f>
        <v/>
      </c>
      <c r="G49" s="15">
        <f>CHOOSE($B$49,R_load*alpha,TL,R_supp*alpha)/20</f>
        <v/>
      </c>
      <c r="H49" s="15">
        <f>$G$49*COS($F$49)</f>
        <v/>
      </c>
      <c r="I49" s="15">
        <f>$G$49*SIN($F$49)</f>
        <v/>
      </c>
      <c r="J49" s="16">
        <f>q_p*$I$49</f>
        <v/>
      </c>
      <c r="K49" s="16">
        <f>-q_p*$H$49</f>
        <v/>
      </c>
      <c r="L49" s="16">
        <f>SUM($J$31:$J$49)-0.5*$J$49</f>
        <v/>
      </c>
      <c r="M49" s="16">
        <f>SUM($K$31:$K$49)-0.5*$K$49</f>
        <v/>
      </c>
      <c r="N49" s="16">
        <f>SUMPRODUCT($D$31:$D$49,$K$31:$K$49)-0.5*$D$49*$K$49</f>
        <v/>
      </c>
      <c r="O49" s="16">
        <f>SUMPRODUCT($E$31:$E$49,$J$31:$J$49)-0.5*$E$49*$J$49</f>
        <v/>
      </c>
      <c r="P49" s="16">
        <f>($N$49-$D$49*$M$49)-($O$49-$E$49*$L$49)</f>
        <v/>
      </c>
      <c r="Q49" s="16">
        <f>-$L$49*COS($F$49)-$M$49*SIN($F$49)</f>
        <v/>
      </c>
      <c r="R49" s="15">
        <f>-COS($F$49)</f>
        <v/>
      </c>
      <c r="S49" s="16">
        <f>-$P$49</f>
        <v/>
      </c>
      <c r="T49" s="15">
        <f>f_-$E$49</f>
        <v/>
      </c>
      <c r="U49" s="16">
        <f>$G$49/EI_</f>
        <v/>
      </c>
      <c r="V49" s="16">
        <f>$G$49/EA_</f>
        <v/>
      </c>
      <c r="W49" s="15">
        <f>$Q$49+P_fr*$R$49</f>
        <v/>
      </c>
      <c r="X49" s="15">
        <f>$S$49+P_fr*$T$49-Mc_fr</f>
        <v/>
      </c>
      <c r="Y49" s="15">
        <f>$W$49/h_calc-6*$X$49/h_calc^2</f>
        <v/>
      </c>
      <c r="Z49" s="15">
        <f>$W$49/h_calc+6*$X$49/h_calc^2</f>
        <v/>
      </c>
      <c r="AA49" s="16">
        <f>$T$49*$U$49</f>
        <v/>
      </c>
      <c r="AB49" s="16">
        <f>$S$49*$U$49</f>
        <v/>
      </c>
      <c r="AC49" s="16">
        <f>$T$49^2*$U$49+$R$49^2*$V$49</f>
        <v/>
      </c>
      <c r="AD49" s="16">
        <f>$T$49*$S$49*$U$49+$R$49*$Q$49*$V$49</f>
        <v/>
      </c>
      <c r="AE49" s="16">
        <f>$D$49*$K$49</f>
        <v/>
      </c>
      <c r="AF49" s="16">
        <f>$E$49*$J$49</f>
        <v/>
      </c>
    </row>
    <row r="50">
      <c r="A50" s="15" t="n">
        <v>20</v>
      </c>
      <c r="B50" s="15">
        <f>IF($A$50&lt;=20,1,IF($A$50&lt;=40,2,3))</f>
        <v/>
      </c>
      <c r="C50" s="15">
        <f>($A$50-20*($B$50-1)-0.5)/20*CHOOSE($B$50,R_load*alpha,TL,R_supp*alpha)</f>
        <v/>
      </c>
      <c r="D50" s="15">
        <f>CHOOSE($B$50,R_load*SIN($C$50/R_load),R_load*SIN(alpha)+$C$50*COS(alpha),c_-R_supp*SIN(alpha-$C$50/R_supp))</f>
        <v/>
      </c>
      <c r="E50" s="15">
        <f>CHOOSE($B$50,f_-R_load+R_load*COS($C$50/R_load),f_-R_load*(1-COS(alpha))-$C$50*SIN(alpha),-f_+R_supp-R_supp*COS(alpha-$C$50/R_supp))</f>
        <v/>
      </c>
      <c r="F50" s="15">
        <f>CHOOSE($B$50,-$C$50/R_load,-alpha,-(alpha-$C$50/R_supp))</f>
        <v/>
      </c>
      <c r="G50" s="15">
        <f>CHOOSE($B$50,R_load*alpha,TL,R_supp*alpha)/20</f>
        <v/>
      </c>
      <c r="H50" s="15">
        <f>$G$50*COS($F$50)</f>
        <v/>
      </c>
      <c r="I50" s="15">
        <f>$G$50*SIN($F$50)</f>
        <v/>
      </c>
      <c r="J50" s="16">
        <f>q_p*$I$50</f>
        <v/>
      </c>
      <c r="K50" s="16">
        <f>-q_p*$H$50</f>
        <v/>
      </c>
      <c r="L50" s="16">
        <f>SUM($J$31:$J$50)-0.5*$J$50</f>
        <v/>
      </c>
      <c r="M50" s="16">
        <f>SUM($K$31:$K$50)-0.5*$K$50</f>
        <v/>
      </c>
      <c r="N50" s="16">
        <f>SUMPRODUCT($D$31:$D$50,$K$31:$K$50)-0.5*$D$50*$K$50</f>
        <v/>
      </c>
      <c r="O50" s="16">
        <f>SUMPRODUCT($E$31:$E$50,$J$31:$J$50)-0.5*$E$50*$J$50</f>
        <v/>
      </c>
      <c r="P50" s="16">
        <f>($N$50-$D$50*$M$50)-($O$50-$E$50*$L$50)</f>
        <v/>
      </c>
      <c r="Q50" s="16">
        <f>-$L$50*COS($F$50)-$M$50*SIN($F$50)</f>
        <v/>
      </c>
      <c r="R50" s="15">
        <f>-COS($F$50)</f>
        <v/>
      </c>
      <c r="S50" s="16">
        <f>-$P$50</f>
        <v/>
      </c>
      <c r="T50" s="15">
        <f>f_-$E$50</f>
        <v/>
      </c>
      <c r="U50" s="16">
        <f>$G$50/EI_</f>
        <v/>
      </c>
      <c r="V50" s="16">
        <f>$G$50/EA_</f>
        <v/>
      </c>
      <c r="W50" s="15">
        <f>$Q$50+P_fr*$R$50</f>
        <v/>
      </c>
      <c r="X50" s="15">
        <f>$S$50+P_fr*$T$50-Mc_fr</f>
        <v/>
      </c>
      <c r="Y50" s="15">
        <f>$W$50/h_calc-6*$X$50/h_calc^2</f>
        <v/>
      </c>
      <c r="Z50" s="15">
        <f>$W$50/h_calc+6*$X$50/h_calc^2</f>
        <v/>
      </c>
      <c r="AA50" s="16">
        <f>$T$50*$U$50</f>
        <v/>
      </c>
      <c r="AB50" s="16">
        <f>$S$50*$U$50</f>
        <v/>
      </c>
      <c r="AC50" s="16">
        <f>$T$50^2*$U$50+$R$50^2*$V$50</f>
        <v/>
      </c>
      <c r="AD50" s="16">
        <f>$T$50*$S$50*$U$50+$R$50*$Q$50*$V$50</f>
        <v/>
      </c>
      <c r="AE50" s="16">
        <f>$D$50*$K$50</f>
        <v/>
      </c>
      <c r="AF50" s="16">
        <f>$E$50*$J$50</f>
        <v/>
      </c>
    </row>
    <row r="51">
      <c r="A51" s="15" t="n">
        <v>21</v>
      </c>
      <c r="B51" s="15">
        <f>IF($A$51&lt;=20,1,IF($A$51&lt;=40,2,3))</f>
        <v/>
      </c>
      <c r="C51" s="15">
        <f>($A$51-20*($B$51-1)-0.5)/20*CHOOSE($B$51,R_load*alpha,TL,R_supp*alpha)</f>
        <v/>
      </c>
      <c r="D51" s="15">
        <f>CHOOSE($B$51,R_load*SIN($C$51/R_load),R_load*SIN(alpha)+$C$51*COS(alpha),c_-R_supp*SIN(alpha-$C$51/R_supp))</f>
        <v/>
      </c>
      <c r="E51" s="15">
        <f>CHOOSE($B$51,f_-R_load+R_load*COS($C$51/R_load),f_-R_load*(1-COS(alpha))-$C$51*SIN(alpha),-f_+R_supp-R_supp*COS(alpha-$C$51/R_supp))</f>
        <v/>
      </c>
      <c r="F51" s="15">
        <f>CHOOSE($B$51,-$C$51/R_load,-alpha,-(alpha-$C$51/R_supp))</f>
        <v/>
      </c>
      <c r="G51" s="15">
        <f>CHOOSE($B$51,R_load*alpha,TL,R_supp*alpha)/20</f>
        <v/>
      </c>
      <c r="H51" s="15">
        <f>$G$51*COS($F$51)</f>
        <v/>
      </c>
      <c r="I51" s="15">
        <f>$G$51*SIN($F$51)</f>
        <v/>
      </c>
      <c r="J51" s="16">
        <f>q_p*$I$51</f>
        <v/>
      </c>
      <c r="K51" s="16">
        <f>-q_p*$H$51</f>
        <v/>
      </c>
      <c r="L51" s="16">
        <f>SUM($J$31:$J$51)-0.5*$J$51</f>
        <v/>
      </c>
      <c r="M51" s="16">
        <f>SUM($K$31:$K$51)-0.5*$K$51</f>
        <v/>
      </c>
      <c r="N51" s="16">
        <f>SUMPRODUCT($D$31:$D$51,$K$31:$K$51)-0.5*$D$51*$K$51</f>
        <v/>
      </c>
      <c r="O51" s="16">
        <f>SUMPRODUCT($E$31:$E$51,$J$31:$J$51)-0.5*$E$51*$J$51</f>
        <v/>
      </c>
      <c r="P51" s="16">
        <f>($N$51-$D$51*$M$51)-($O$51-$E$51*$L$51)</f>
        <v/>
      </c>
      <c r="Q51" s="16">
        <f>-$L$51*COS($F$51)-$M$51*SIN($F$51)</f>
        <v/>
      </c>
      <c r="R51" s="15">
        <f>-COS($F$51)</f>
        <v/>
      </c>
      <c r="S51" s="16">
        <f>-$P$51</f>
        <v/>
      </c>
      <c r="T51" s="15">
        <f>f_-$E$51</f>
        <v/>
      </c>
      <c r="U51" s="16">
        <f>$G$51/EI_</f>
        <v/>
      </c>
      <c r="V51" s="16">
        <f>$G$51/EA_</f>
        <v/>
      </c>
      <c r="W51" s="15">
        <f>$Q$51+P_fr*$R$51</f>
        <v/>
      </c>
      <c r="X51" s="15">
        <f>$S$51+P_fr*$T$51-Mc_fr</f>
        <v/>
      </c>
      <c r="Y51" s="15">
        <f>$W$51/h_calc-6*$X$51/h_calc^2</f>
        <v/>
      </c>
      <c r="Z51" s="15">
        <f>$W$51/h_calc+6*$X$51/h_calc^2</f>
        <v/>
      </c>
      <c r="AA51" s="16">
        <f>$T$51*$U$51</f>
        <v/>
      </c>
      <c r="AB51" s="16">
        <f>$S$51*$U$51</f>
        <v/>
      </c>
      <c r="AC51" s="16">
        <f>$T$51^2*$U$51+$R$51^2*$V$51</f>
        <v/>
      </c>
      <c r="AD51" s="16">
        <f>$T$51*$S$51*$U$51+$R$51*$Q$51*$V$51</f>
        <v/>
      </c>
      <c r="AE51" s="16">
        <f>$D$51*$K$51</f>
        <v/>
      </c>
      <c r="AF51" s="16">
        <f>$E$51*$J$51</f>
        <v/>
      </c>
    </row>
    <row r="52">
      <c r="A52" s="15" t="n">
        <v>22</v>
      </c>
      <c r="B52" s="15">
        <f>IF($A$52&lt;=20,1,IF($A$52&lt;=40,2,3))</f>
        <v/>
      </c>
      <c r="C52" s="15">
        <f>($A$52-20*($B$52-1)-0.5)/20*CHOOSE($B$52,R_load*alpha,TL,R_supp*alpha)</f>
        <v/>
      </c>
      <c r="D52" s="15">
        <f>CHOOSE($B$52,R_load*SIN($C$52/R_load),R_load*SIN(alpha)+$C$52*COS(alpha),c_-R_supp*SIN(alpha-$C$52/R_supp))</f>
        <v/>
      </c>
      <c r="E52" s="15">
        <f>CHOOSE($B$52,f_-R_load+R_load*COS($C$52/R_load),f_-R_load*(1-COS(alpha))-$C$52*SIN(alpha),-f_+R_supp-R_supp*COS(alpha-$C$52/R_supp))</f>
        <v/>
      </c>
      <c r="F52" s="15">
        <f>CHOOSE($B$52,-$C$52/R_load,-alpha,-(alpha-$C$52/R_supp))</f>
        <v/>
      </c>
      <c r="G52" s="15">
        <f>CHOOSE($B$52,R_load*alpha,TL,R_supp*alpha)/20</f>
        <v/>
      </c>
      <c r="H52" s="15">
        <f>$G$52*COS($F$52)</f>
        <v/>
      </c>
      <c r="I52" s="15">
        <f>$G$52*SIN($F$52)</f>
        <v/>
      </c>
      <c r="J52" s="16">
        <f>q_p*$I$52</f>
        <v/>
      </c>
      <c r="K52" s="16">
        <f>-q_p*$H$52</f>
        <v/>
      </c>
      <c r="L52" s="16">
        <f>SUM($J$31:$J$52)-0.5*$J$52</f>
        <v/>
      </c>
      <c r="M52" s="16">
        <f>SUM($K$31:$K$52)-0.5*$K$52</f>
        <v/>
      </c>
      <c r="N52" s="16">
        <f>SUMPRODUCT($D$31:$D$52,$K$31:$K$52)-0.5*$D$52*$K$52</f>
        <v/>
      </c>
      <c r="O52" s="16">
        <f>SUMPRODUCT($E$31:$E$52,$J$31:$J$52)-0.5*$E$52*$J$52</f>
        <v/>
      </c>
      <c r="P52" s="16">
        <f>($N$52-$D$52*$M$52)-($O$52-$E$52*$L$52)</f>
        <v/>
      </c>
      <c r="Q52" s="16">
        <f>-$L$52*COS($F$52)-$M$52*SIN($F$52)</f>
        <v/>
      </c>
      <c r="R52" s="15">
        <f>-COS($F$52)</f>
        <v/>
      </c>
      <c r="S52" s="16">
        <f>-$P$52</f>
        <v/>
      </c>
      <c r="T52" s="15">
        <f>f_-$E$52</f>
        <v/>
      </c>
      <c r="U52" s="16">
        <f>$G$52/EI_</f>
        <v/>
      </c>
      <c r="V52" s="16">
        <f>$G$52/EA_</f>
        <v/>
      </c>
      <c r="W52" s="15">
        <f>$Q$52+P_fr*$R$52</f>
        <v/>
      </c>
      <c r="X52" s="15">
        <f>$S$52+P_fr*$T$52-Mc_fr</f>
        <v/>
      </c>
      <c r="Y52" s="15">
        <f>$W$52/h_calc-6*$X$52/h_calc^2</f>
        <v/>
      </c>
      <c r="Z52" s="15">
        <f>$W$52/h_calc+6*$X$52/h_calc^2</f>
        <v/>
      </c>
      <c r="AA52" s="16">
        <f>$T$52*$U$52</f>
        <v/>
      </c>
      <c r="AB52" s="16">
        <f>$S$52*$U$52</f>
        <v/>
      </c>
      <c r="AC52" s="16">
        <f>$T$52^2*$U$52+$R$52^2*$V$52</f>
        <v/>
      </c>
      <c r="AD52" s="16">
        <f>$T$52*$S$52*$U$52+$R$52*$Q$52*$V$52</f>
        <v/>
      </c>
      <c r="AE52" s="16">
        <f>$D$52*$K$52</f>
        <v/>
      </c>
      <c r="AF52" s="16">
        <f>$E$52*$J$52</f>
        <v/>
      </c>
    </row>
    <row r="53">
      <c r="A53" s="15" t="n">
        <v>23</v>
      </c>
      <c r="B53" s="15">
        <f>IF($A$53&lt;=20,1,IF($A$53&lt;=40,2,3))</f>
        <v/>
      </c>
      <c r="C53" s="15">
        <f>($A$53-20*($B$53-1)-0.5)/20*CHOOSE($B$53,R_load*alpha,TL,R_supp*alpha)</f>
        <v/>
      </c>
      <c r="D53" s="15">
        <f>CHOOSE($B$53,R_load*SIN($C$53/R_load),R_load*SIN(alpha)+$C$53*COS(alpha),c_-R_supp*SIN(alpha-$C$53/R_supp))</f>
        <v/>
      </c>
      <c r="E53" s="15">
        <f>CHOOSE($B$53,f_-R_load+R_load*COS($C$53/R_load),f_-R_load*(1-COS(alpha))-$C$53*SIN(alpha),-f_+R_supp-R_supp*COS(alpha-$C$53/R_supp))</f>
        <v/>
      </c>
      <c r="F53" s="15">
        <f>CHOOSE($B$53,-$C$53/R_load,-alpha,-(alpha-$C$53/R_supp))</f>
        <v/>
      </c>
      <c r="G53" s="15">
        <f>CHOOSE($B$53,R_load*alpha,TL,R_supp*alpha)/20</f>
        <v/>
      </c>
      <c r="H53" s="15">
        <f>$G$53*COS($F$53)</f>
        <v/>
      </c>
      <c r="I53" s="15">
        <f>$G$53*SIN($F$53)</f>
        <v/>
      </c>
      <c r="J53" s="16">
        <f>q_p*$I$53</f>
        <v/>
      </c>
      <c r="K53" s="16">
        <f>-q_p*$H$53</f>
        <v/>
      </c>
      <c r="L53" s="16">
        <f>SUM($J$31:$J$53)-0.5*$J$53</f>
        <v/>
      </c>
      <c r="M53" s="16">
        <f>SUM($K$31:$K$53)-0.5*$K$53</f>
        <v/>
      </c>
      <c r="N53" s="16">
        <f>SUMPRODUCT($D$31:$D$53,$K$31:$K$53)-0.5*$D$53*$K$53</f>
        <v/>
      </c>
      <c r="O53" s="16">
        <f>SUMPRODUCT($E$31:$E$53,$J$31:$J$53)-0.5*$E$53*$J$53</f>
        <v/>
      </c>
      <c r="P53" s="16">
        <f>($N$53-$D$53*$M$53)-($O$53-$E$53*$L$53)</f>
        <v/>
      </c>
      <c r="Q53" s="16">
        <f>-$L$53*COS($F$53)-$M$53*SIN($F$53)</f>
        <v/>
      </c>
      <c r="R53" s="15">
        <f>-COS($F$53)</f>
        <v/>
      </c>
      <c r="S53" s="16">
        <f>-$P$53</f>
        <v/>
      </c>
      <c r="T53" s="15">
        <f>f_-$E$53</f>
        <v/>
      </c>
      <c r="U53" s="16">
        <f>$G$53/EI_</f>
        <v/>
      </c>
      <c r="V53" s="16">
        <f>$G$53/EA_</f>
        <v/>
      </c>
      <c r="W53" s="15">
        <f>$Q$53+P_fr*$R$53</f>
        <v/>
      </c>
      <c r="X53" s="15">
        <f>$S$53+P_fr*$T$53-Mc_fr</f>
        <v/>
      </c>
      <c r="Y53" s="15">
        <f>$W$53/h_calc-6*$X$53/h_calc^2</f>
        <v/>
      </c>
      <c r="Z53" s="15">
        <f>$W$53/h_calc+6*$X$53/h_calc^2</f>
        <v/>
      </c>
      <c r="AA53" s="16">
        <f>$T$53*$U$53</f>
        <v/>
      </c>
      <c r="AB53" s="16">
        <f>$S$53*$U$53</f>
        <v/>
      </c>
      <c r="AC53" s="16">
        <f>$T$53^2*$U$53+$R$53^2*$V$53</f>
        <v/>
      </c>
      <c r="AD53" s="16">
        <f>$T$53*$S$53*$U$53+$R$53*$Q$53*$V$53</f>
        <v/>
      </c>
      <c r="AE53" s="16">
        <f>$D$53*$K$53</f>
        <v/>
      </c>
      <c r="AF53" s="16">
        <f>$E$53*$J$53</f>
        <v/>
      </c>
    </row>
    <row r="54">
      <c r="A54" s="15" t="n">
        <v>24</v>
      </c>
      <c r="B54" s="15">
        <f>IF($A$54&lt;=20,1,IF($A$54&lt;=40,2,3))</f>
        <v/>
      </c>
      <c r="C54" s="15">
        <f>($A$54-20*($B$54-1)-0.5)/20*CHOOSE($B$54,R_load*alpha,TL,R_supp*alpha)</f>
        <v/>
      </c>
      <c r="D54" s="15">
        <f>CHOOSE($B$54,R_load*SIN($C$54/R_load),R_load*SIN(alpha)+$C$54*COS(alpha),c_-R_supp*SIN(alpha-$C$54/R_supp))</f>
        <v/>
      </c>
      <c r="E54" s="15">
        <f>CHOOSE($B$54,f_-R_load+R_load*COS($C$54/R_load),f_-R_load*(1-COS(alpha))-$C$54*SIN(alpha),-f_+R_supp-R_supp*COS(alpha-$C$54/R_supp))</f>
        <v/>
      </c>
      <c r="F54" s="15">
        <f>CHOOSE($B$54,-$C$54/R_load,-alpha,-(alpha-$C$54/R_supp))</f>
        <v/>
      </c>
      <c r="G54" s="15">
        <f>CHOOSE($B$54,R_load*alpha,TL,R_supp*alpha)/20</f>
        <v/>
      </c>
      <c r="H54" s="15">
        <f>$G$54*COS($F$54)</f>
        <v/>
      </c>
      <c r="I54" s="15">
        <f>$G$54*SIN($F$54)</f>
        <v/>
      </c>
      <c r="J54" s="16">
        <f>q_p*$I$54</f>
        <v/>
      </c>
      <c r="K54" s="16">
        <f>-q_p*$H$54</f>
        <v/>
      </c>
      <c r="L54" s="16">
        <f>SUM($J$31:$J$54)-0.5*$J$54</f>
        <v/>
      </c>
      <c r="M54" s="16">
        <f>SUM($K$31:$K$54)-0.5*$K$54</f>
        <v/>
      </c>
      <c r="N54" s="16">
        <f>SUMPRODUCT($D$31:$D$54,$K$31:$K$54)-0.5*$D$54*$K$54</f>
        <v/>
      </c>
      <c r="O54" s="16">
        <f>SUMPRODUCT($E$31:$E$54,$J$31:$J$54)-0.5*$E$54*$J$54</f>
        <v/>
      </c>
      <c r="P54" s="16">
        <f>($N$54-$D$54*$M$54)-($O$54-$E$54*$L$54)</f>
        <v/>
      </c>
      <c r="Q54" s="16">
        <f>-$L$54*COS($F$54)-$M$54*SIN($F$54)</f>
        <v/>
      </c>
      <c r="R54" s="15">
        <f>-COS($F$54)</f>
        <v/>
      </c>
      <c r="S54" s="16">
        <f>-$P$54</f>
        <v/>
      </c>
      <c r="T54" s="15">
        <f>f_-$E$54</f>
        <v/>
      </c>
      <c r="U54" s="16">
        <f>$G$54/EI_</f>
        <v/>
      </c>
      <c r="V54" s="16">
        <f>$G$54/EA_</f>
        <v/>
      </c>
      <c r="W54" s="15">
        <f>$Q$54+P_fr*$R$54</f>
        <v/>
      </c>
      <c r="X54" s="15">
        <f>$S$54+P_fr*$T$54-Mc_fr</f>
        <v/>
      </c>
      <c r="Y54" s="15">
        <f>$W$54/h_calc-6*$X$54/h_calc^2</f>
        <v/>
      </c>
      <c r="Z54" s="15">
        <f>$W$54/h_calc+6*$X$54/h_calc^2</f>
        <v/>
      </c>
      <c r="AA54" s="16">
        <f>$T$54*$U$54</f>
        <v/>
      </c>
      <c r="AB54" s="16">
        <f>$S$54*$U$54</f>
        <v/>
      </c>
      <c r="AC54" s="16">
        <f>$T$54^2*$U$54+$R$54^2*$V$54</f>
        <v/>
      </c>
      <c r="AD54" s="16">
        <f>$T$54*$S$54*$U$54+$R$54*$Q$54*$V$54</f>
        <v/>
      </c>
      <c r="AE54" s="16">
        <f>$D$54*$K$54</f>
        <v/>
      </c>
      <c r="AF54" s="16">
        <f>$E$54*$J$54</f>
        <v/>
      </c>
    </row>
    <row r="55">
      <c r="A55" s="15" t="n">
        <v>25</v>
      </c>
      <c r="B55" s="15">
        <f>IF($A$55&lt;=20,1,IF($A$55&lt;=40,2,3))</f>
        <v/>
      </c>
      <c r="C55" s="15">
        <f>($A$55-20*($B$55-1)-0.5)/20*CHOOSE($B$55,R_load*alpha,TL,R_supp*alpha)</f>
        <v/>
      </c>
      <c r="D55" s="15">
        <f>CHOOSE($B$55,R_load*SIN($C$55/R_load),R_load*SIN(alpha)+$C$55*COS(alpha),c_-R_supp*SIN(alpha-$C$55/R_supp))</f>
        <v/>
      </c>
      <c r="E55" s="15">
        <f>CHOOSE($B$55,f_-R_load+R_load*COS($C$55/R_load),f_-R_load*(1-COS(alpha))-$C$55*SIN(alpha),-f_+R_supp-R_supp*COS(alpha-$C$55/R_supp))</f>
        <v/>
      </c>
      <c r="F55" s="15">
        <f>CHOOSE($B$55,-$C$55/R_load,-alpha,-(alpha-$C$55/R_supp))</f>
        <v/>
      </c>
      <c r="G55" s="15">
        <f>CHOOSE($B$55,R_load*alpha,TL,R_supp*alpha)/20</f>
        <v/>
      </c>
      <c r="H55" s="15">
        <f>$G$55*COS($F$55)</f>
        <v/>
      </c>
      <c r="I55" s="15">
        <f>$G$55*SIN($F$55)</f>
        <v/>
      </c>
      <c r="J55" s="16">
        <f>q_p*$I$55</f>
        <v/>
      </c>
      <c r="K55" s="16">
        <f>-q_p*$H$55</f>
        <v/>
      </c>
      <c r="L55" s="16">
        <f>SUM($J$31:$J$55)-0.5*$J$55</f>
        <v/>
      </c>
      <c r="M55" s="16">
        <f>SUM($K$31:$K$55)-0.5*$K$55</f>
        <v/>
      </c>
      <c r="N55" s="16">
        <f>SUMPRODUCT($D$31:$D$55,$K$31:$K$55)-0.5*$D$55*$K$55</f>
        <v/>
      </c>
      <c r="O55" s="16">
        <f>SUMPRODUCT($E$31:$E$55,$J$31:$J$55)-0.5*$E$55*$J$55</f>
        <v/>
      </c>
      <c r="P55" s="16">
        <f>($N$55-$D$55*$M$55)-($O$55-$E$55*$L$55)</f>
        <v/>
      </c>
      <c r="Q55" s="16">
        <f>-$L$55*COS($F$55)-$M$55*SIN($F$55)</f>
        <v/>
      </c>
      <c r="R55" s="15">
        <f>-COS($F$55)</f>
        <v/>
      </c>
      <c r="S55" s="16">
        <f>-$P$55</f>
        <v/>
      </c>
      <c r="T55" s="15">
        <f>f_-$E$55</f>
        <v/>
      </c>
      <c r="U55" s="16">
        <f>$G$55/EI_</f>
        <v/>
      </c>
      <c r="V55" s="16">
        <f>$G$55/EA_</f>
        <v/>
      </c>
      <c r="W55" s="15">
        <f>$Q$55+P_fr*$R$55</f>
        <v/>
      </c>
      <c r="X55" s="15">
        <f>$S$55+P_fr*$T$55-Mc_fr</f>
        <v/>
      </c>
      <c r="Y55" s="15">
        <f>$W$55/h_calc-6*$X$55/h_calc^2</f>
        <v/>
      </c>
      <c r="Z55" s="15">
        <f>$W$55/h_calc+6*$X$55/h_calc^2</f>
        <v/>
      </c>
      <c r="AA55" s="16">
        <f>$T$55*$U$55</f>
        <v/>
      </c>
      <c r="AB55" s="16">
        <f>$S$55*$U$55</f>
        <v/>
      </c>
      <c r="AC55" s="16">
        <f>$T$55^2*$U$55+$R$55^2*$V$55</f>
        <v/>
      </c>
      <c r="AD55" s="16">
        <f>$T$55*$S$55*$U$55+$R$55*$Q$55*$V$55</f>
        <v/>
      </c>
      <c r="AE55" s="16">
        <f>$D$55*$K$55</f>
        <v/>
      </c>
      <c r="AF55" s="16">
        <f>$E$55*$J$55</f>
        <v/>
      </c>
    </row>
    <row r="56">
      <c r="A56" s="15" t="n">
        <v>26</v>
      </c>
      <c r="B56" s="15">
        <f>IF($A$56&lt;=20,1,IF($A$56&lt;=40,2,3))</f>
        <v/>
      </c>
      <c r="C56" s="15">
        <f>($A$56-20*($B$56-1)-0.5)/20*CHOOSE($B$56,R_load*alpha,TL,R_supp*alpha)</f>
        <v/>
      </c>
      <c r="D56" s="15">
        <f>CHOOSE($B$56,R_load*SIN($C$56/R_load),R_load*SIN(alpha)+$C$56*COS(alpha),c_-R_supp*SIN(alpha-$C$56/R_supp))</f>
        <v/>
      </c>
      <c r="E56" s="15">
        <f>CHOOSE($B$56,f_-R_load+R_load*COS($C$56/R_load),f_-R_load*(1-COS(alpha))-$C$56*SIN(alpha),-f_+R_supp-R_supp*COS(alpha-$C$56/R_supp))</f>
        <v/>
      </c>
      <c r="F56" s="15">
        <f>CHOOSE($B$56,-$C$56/R_load,-alpha,-(alpha-$C$56/R_supp))</f>
        <v/>
      </c>
      <c r="G56" s="15">
        <f>CHOOSE($B$56,R_load*alpha,TL,R_supp*alpha)/20</f>
        <v/>
      </c>
      <c r="H56" s="15">
        <f>$G$56*COS($F$56)</f>
        <v/>
      </c>
      <c r="I56" s="15">
        <f>$G$56*SIN($F$56)</f>
        <v/>
      </c>
      <c r="J56" s="16">
        <f>q_p*$I$56</f>
        <v/>
      </c>
      <c r="K56" s="16">
        <f>-q_p*$H$56</f>
        <v/>
      </c>
      <c r="L56" s="16">
        <f>SUM($J$31:$J$56)-0.5*$J$56</f>
        <v/>
      </c>
      <c r="M56" s="16">
        <f>SUM($K$31:$K$56)-0.5*$K$56</f>
        <v/>
      </c>
      <c r="N56" s="16">
        <f>SUMPRODUCT($D$31:$D$56,$K$31:$K$56)-0.5*$D$56*$K$56</f>
        <v/>
      </c>
      <c r="O56" s="16">
        <f>SUMPRODUCT($E$31:$E$56,$J$31:$J$56)-0.5*$E$56*$J$56</f>
        <v/>
      </c>
      <c r="P56" s="16">
        <f>($N$56-$D$56*$M$56)-($O$56-$E$56*$L$56)</f>
        <v/>
      </c>
      <c r="Q56" s="16">
        <f>-$L$56*COS($F$56)-$M$56*SIN($F$56)</f>
        <v/>
      </c>
      <c r="R56" s="15">
        <f>-COS($F$56)</f>
        <v/>
      </c>
      <c r="S56" s="16">
        <f>-$P$56</f>
        <v/>
      </c>
      <c r="T56" s="15">
        <f>f_-$E$56</f>
        <v/>
      </c>
      <c r="U56" s="16">
        <f>$G$56/EI_</f>
        <v/>
      </c>
      <c r="V56" s="16">
        <f>$G$56/EA_</f>
        <v/>
      </c>
      <c r="W56" s="15">
        <f>$Q$56+P_fr*$R$56</f>
        <v/>
      </c>
      <c r="X56" s="15">
        <f>$S$56+P_fr*$T$56-Mc_fr</f>
        <v/>
      </c>
      <c r="Y56" s="15">
        <f>$W$56/h_calc-6*$X$56/h_calc^2</f>
        <v/>
      </c>
      <c r="Z56" s="15">
        <f>$W$56/h_calc+6*$X$56/h_calc^2</f>
        <v/>
      </c>
      <c r="AA56" s="16">
        <f>$T$56*$U$56</f>
        <v/>
      </c>
      <c r="AB56" s="16">
        <f>$S$56*$U$56</f>
        <v/>
      </c>
      <c r="AC56" s="16">
        <f>$T$56^2*$U$56+$R$56^2*$V$56</f>
        <v/>
      </c>
      <c r="AD56" s="16">
        <f>$T$56*$S$56*$U$56+$R$56*$Q$56*$V$56</f>
        <v/>
      </c>
      <c r="AE56" s="16">
        <f>$D$56*$K$56</f>
        <v/>
      </c>
      <c r="AF56" s="16">
        <f>$E$56*$J$56</f>
        <v/>
      </c>
    </row>
    <row r="57">
      <c r="A57" s="15" t="n">
        <v>27</v>
      </c>
      <c r="B57" s="15">
        <f>IF($A$57&lt;=20,1,IF($A$57&lt;=40,2,3))</f>
        <v/>
      </c>
      <c r="C57" s="15">
        <f>($A$57-20*($B$57-1)-0.5)/20*CHOOSE($B$57,R_load*alpha,TL,R_supp*alpha)</f>
        <v/>
      </c>
      <c r="D57" s="15">
        <f>CHOOSE($B$57,R_load*SIN($C$57/R_load),R_load*SIN(alpha)+$C$57*COS(alpha),c_-R_supp*SIN(alpha-$C$57/R_supp))</f>
        <v/>
      </c>
      <c r="E57" s="15">
        <f>CHOOSE($B$57,f_-R_load+R_load*COS($C$57/R_load),f_-R_load*(1-COS(alpha))-$C$57*SIN(alpha),-f_+R_supp-R_supp*COS(alpha-$C$57/R_supp))</f>
        <v/>
      </c>
      <c r="F57" s="15">
        <f>CHOOSE($B$57,-$C$57/R_load,-alpha,-(alpha-$C$57/R_supp))</f>
        <v/>
      </c>
      <c r="G57" s="15">
        <f>CHOOSE($B$57,R_load*alpha,TL,R_supp*alpha)/20</f>
        <v/>
      </c>
      <c r="H57" s="15">
        <f>$G$57*COS($F$57)</f>
        <v/>
      </c>
      <c r="I57" s="15">
        <f>$G$57*SIN($F$57)</f>
        <v/>
      </c>
      <c r="J57" s="16">
        <f>q_p*$I$57</f>
        <v/>
      </c>
      <c r="K57" s="16">
        <f>-q_p*$H$57</f>
        <v/>
      </c>
      <c r="L57" s="16">
        <f>SUM($J$31:$J$57)-0.5*$J$57</f>
        <v/>
      </c>
      <c r="M57" s="16">
        <f>SUM($K$31:$K$57)-0.5*$K$57</f>
        <v/>
      </c>
      <c r="N57" s="16">
        <f>SUMPRODUCT($D$31:$D$57,$K$31:$K$57)-0.5*$D$57*$K$57</f>
        <v/>
      </c>
      <c r="O57" s="16">
        <f>SUMPRODUCT($E$31:$E$57,$J$31:$J$57)-0.5*$E$57*$J$57</f>
        <v/>
      </c>
      <c r="P57" s="16">
        <f>($N$57-$D$57*$M$57)-($O$57-$E$57*$L$57)</f>
        <v/>
      </c>
      <c r="Q57" s="16">
        <f>-$L$57*COS($F$57)-$M$57*SIN($F$57)</f>
        <v/>
      </c>
      <c r="R57" s="15">
        <f>-COS($F$57)</f>
        <v/>
      </c>
      <c r="S57" s="16">
        <f>-$P$57</f>
        <v/>
      </c>
      <c r="T57" s="15">
        <f>f_-$E$57</f>
        <v/>
      </c>
      <c r="U57" s="16">
        <f>$G$57/EI_</f>
        <v/>
      </c>
      <c r="V57" s="16">
        <f>$G$57/EA_</f>
        <v/>
      </c>
      <c r="W57" s="15">
        <f>$Q$57+P_fr*$R$57</f>
        <v/>
      </c>
      <c r="X57" s="15">
        <f>$S$57+P_fr*$T$57-Mc_fr</f>
        <v/>
      </c>
      <c r="Y57" s="15">
        <f>$W$57/h_calc-6*$X$57/h_calc^2</f>
        <v/>
      </c>
      <c r="Z57" s="15">
        <f>$W$57/h_calc+6*$X$57/h_calc^2</f>
        <v/>
      </c>
      <c r="AA57" s="16">
        <f>$T$57*$U$57</f>
        <v/>
      </c>
      <c r="AB57" s="16">
        <f>$S$57*$U$57</f>
        <v/>
      </c>
      <c r="AC57" s="16">
        <f>$T$57^2*$U$57+$R$57^2*$V$57</f>
        <v/>
      </c>
      <c r="AD57" s="16">
        <f>$T$57*$S$57*$U$57+$R$57*$Q$57*$V$57</f>
        <v/>
      </c>
      <c r="AE57" s="16">
        <f>$D$57*$K$57</f>
        <v/>
      </c>
      <c r="AF57" s="16">
        <f>$E$57*$J$57</f>
        <v/>
      </c>
    </row>
    <row r="58">
      <c r="A58" s="15" t="n">
        <v>28</v>
      </c>
      <c r="B58" s="15">
        <f>IF($A$58&lt;=20,1,IF($A$58&lt;=40,2,3))</f>
        <v/>
      </c>
      <c r="C58" s="15">
        <f>($A$58-20*($B$58-1)-0.5)/20*CHOOSE($B$58,R_load*alpha,TL,R_supp*alpha)</f>
        <v/>
      </c>
      <c r="D58" s="15">
        <f>CHOOSE($B$58,R_load*SIN($C$58/R_load),R_load*SIN(alpha)+$C$58*COS(alpha),c_-R_supp*SIN(alpha-$C$58/R_supp))</f>
        <v/>
      </c>
      <c r="E58" s="15">
        <f>CHOOSE($B$58,f_-R_load+R_load*COS($C$58/R_load),f_-R_load*(1-COS(alpha))-$C$58*SIN(alpha),-f_+R_supp-R_supp*COS(alpha-$C$58/R_supp))</f>
        <v/>
      </c>
      <c r="F58" s="15">
        <f>CHOOSE($B$58,-$C$58/R_load,-alpha,-(alpha-$C$58/R_supp))</f>
        <v/>
      </c>
      <c r="G58" s="15">
        <f>CHOOSE($B$58,R_load*alpha,TL,R_supp*alpha)/20</f>
        <v/>
      </c>
      <c r="H58" s="15">
        <f>$G$58*COS($F$58)</f>
        <v/>
      </c>
      <c r="I58" s="15">
        <f>$G$58*SIN($F$58)</f>
        <v/>
      </c>
      <c r="J58" s="16">
        <f>q_p*$I$58</f>
        <v/>
      </c>
      <c r="K58" s="16">
        <f>-q_p*$H$58</f>
        <v/>
      </c>
      <c r="L58" s="16">
        <f>SUM($J$31:$J$58)-0.5*$J$58</f>
        <v/>
      </c>
      <c r="M58" s="16">
        <f>SUM($K$31:$K$58)-0.5*$K$58</f>
        <v/>
      </c>
      <c r="N58" s="16">
        <f>SUMPRODUCT($D$31:$D$58,$K$31:$K$58)-0.5*$D$58*$K$58</f>
        <v/>
      </c>
      <c r="O58" s="16">
        <f>SUMPRODUCT($E$31:$E$58,$J$31:$J$58)-0.5*$E$58*$J$58</f>
        <v/>
      </c>
      <c r="P58" s="16">
        <f>($N$58-$D$58*$M$58)-($O$58-$E$58*$L$58)</f>
        <v/>
      </c>
      <c r="Q58" s="16">
        <f>-$L$58*COS($F$58)-$M$58*SIN($F$58)</f>
        <v/>
      </c>
      <c r="R58" s="15">
        <f>-COS($F$58)</f>
        <v/>
      </c>
      <c r="S58" s="16">
        <f>-$P$58</f>
        <v/>
      </c>
      <c r="T58" s="15">
        <f>f_-$E$58</f>
        <v/>
      </c>
      <c r="U58" s="16">
        <f>$G$58/EI_</f>
        <v/>
      </c>
      <c r="V58" s="16">
        <f>$G$58/EA_</f>
        <v/>
      </c>
      <c r="W58" s="15">
        <f>$Q$58+P_fr*$R$58</f>
        <v/>
      </c>
      <c r="X58" s="15">
        <f>$S$58+P_fr*$T$58-Mc_fr</f>
        <v/>
      </c>
      <c r="Y58" s="15">
        <f>$W$58/h_calc-6*$X$58/h_calc^2</f>
        <v/>
      </c>
      <c r="Z58" s="15">
        <f>$W$58/h_calc+6*$X$58/h_calc^2</f>
        <v/>
      </c>
      <c r="AA58" s="16">
        <f>$T$58*$U$58</f>
        <v/>
      </c>
      <c r="AB58" s="16">
        <f>$S$58*$U$58</f>
        <v/>
      </c>
      <c r="AC58" s="16">
        <f>$T$58^2*$U$58+$R$58^2*$V$58</f>
        <v/>
      </c>
      <c r="AD58" s="16">
        <f>$T$58*$S$58*$U$58+$R$58*$Q$58*$V$58</f>
        <v/>
      </c>
      <c r="AE58" s="16">
        <f>$D$58*$K$58</f>
        <v/>
      </c>
      <c r="AF58" s="16">
        <f>$E$58*$J$58</f>
        <v/>
      </c>
    </row>
    <row r="59">
      <c r="A59" s="15" t="n">
        <v>29</v>
      </c>
      <c r="B59" s="15">
        <f>IF($A$59&lt;=20,1,IF($A$59&lt;=40,2,3))</f>
        <v/>
      </c>
      <c r="C59" s="15">
        <f>($A$59-20*($B$59-1)-0.5)/20*CHOOSE($B$59,R_load*alpha,TL,R_supp*alpha)</f>
        <v/>
      </c>
      <c r="D59" s="15">
        <f>CHOOSE($B$59,R_load*SIN($C$59/R_load),R_load*SIN(alpha)+$C$59*COS(alpha),c_-R_supp*SIN(alpha-$C$59/R_supp))</f>
        <v/>
      </c>
      <c r="E59" s="15">
        <f>CHOOSE($B$59,f_-R_load+R_load*COS($C$59/R_load),f_-R_load*(1-COS(alpha))-$C$59*SIN(alpha),-f_+R_supp-R_supp*COS(alpha-$C$59/R_supp))</f>
        <v/>
      </c>
      <c r="F59" s="15">
        <f>CHOOSE($B$59,-$C$59/R_load,-alpha,-(alpha-$C$59/R_supp))</f>
        <v/>
      </c>
      <c r="G59" s="15">
        <f>CHOOSE($B$59,R_load*alpha,TL,R_supp*alpha)/20</f>
        <v/>
      </c>
      <c r="H59" s="15">
        <f>$G$59*COS($F$59)</f>
        <v/>
      </c>
      <c r="I59" s="15">
        <f>$G$59*SIN($F$59)</f>
        <v/>
      </c>
      <c r="J59" s="16">
        <f>q_p*$I$59</f>
        <v/>
      </c>
      <c r="K59" s="16">
        <f>-q_p*$H$59</f>
        <v/>
      </c>
      <c r="L59" s="16">
        <f>SUM($J$31:$J$59)-0.5*$J$59</f>
        <v/>
      </c>
      <c r="M59" s="16">
        <f>SUM($K$31:$K$59)-0.5*$K$59</f>
        <v/>
      </c>
      <c r="N59" s="16">
        <f>SUMPRODUCT($D$31:$D$59,$K$31:$K$59)-0.5*$D$59*$K$59</f>
        <v/>
      </c>
      <c r="O59" s="16">
        <f>SUMPRODUCT($E$31:$E$59,$J$31:$J$59)-0.5*$E$59*$J$59</f>
        <v/>
      </c>
      <c r="P59" s="16">
        <f>($N$59-$D$59*$M$59)-($O$59-$E$59*$L$59)</f>
        <v/>
      </c>
      <c r="Q59" s="16">
        <f>-$L$59*COS($F$59)-$M$59*SIN($F$59)</f>
        <v/>
      </c>
      <c r="R59" s="15">
        <f>-COS($F$59)</f>
        <v/>
      </c>
      <c r="S59" s="16">
        <f>-$P$59</f>
        <v/>
      </c>
      <c r="T59" s="15">
        <f>f_-$E$59</f>
        <v/>
      </c>
      <c r="U59" s="16">
        <f>$G$59/EI_</f>
        <v/>
      </c>
      <c r="V59" s="16">
        <f>$G$59/EA_</f>
        <v/>
      </c>
      <c r="W59" s="15">
        <f>$Q$59+P_fr*$R$59</f>
        <v/>
      </c>
      <c r="X59" s="15">
        <f>$S$59+P_fr*$T$59-Mc_fr</f>
        <v/>
      </c>
      <c r="Y59" s="15">
        <f>$W$59/h_calc-6*$X$59/h_calc^2</f>
        <v/>
      </c>
      <c r="Z59" s="15">
        <f>$W$59/h_calc+6*$X$59/h_calc^2</f>
        <v/>
      </c>
      <c r="AA59" s="16">
        <f>$T$59*$U$59</f>
        <v/>
      </c>
      <c r="AB59" s="16">
        <f>$S$59*$U$59</f>
        <v/>
      </c>
      <c r="AC59" s="16">
        <f>$T$59^2*$U$59+$R$59^2*$V$59</f>
        <v/>
      </c>
      <c r="AD59" s="16">
        <f>$T$59*$S$59*$U$59+$R$59*$Q$59*$V$59</f>
        <v/>
      </c>
      <c r="AE59" s="16">
        <f>$D$59*$K$59</f>
        <v/>
      </c>
      <c r="AF59" s="16">
        <f>$E$59*$J$59</f>
        <v/>
      </c>
    </row>
    <row r="60">
      <c r="A60" s="15" t="n">
        <v>30</v>
      </c>
      <c r="B60" s="15">
        <f>IF($A$60&lt;=20,1,IF($A$60&lt;=40,2,3))</f>
        <v/>
      </c>
      <c r="C60" s="15">
        <f>($A$60-20*($B$60-1)-0.5)/20*CHOOSE($B$60,R_load*alpha,TL,R_supp*alpha)</f>
        <v/>
      </c>
      <c r="D60" s="15">
        <f>CHOOSE($B$60,R_load*SIN($C$60/R_load),R_load*SIN(alpha)+$C$60*COS(alpha),c_-R_supp*SIN(alpha-$C$60/R_supp))</f>
        <v/>
      </c>
      <c r="E60" s="15">
        <f>CHOOSE($B$60,f_-R_load+R_load*COS($C$60/R_load),f_-R_load*(1-COS(alpha))-$C$60*SIN(alpha),-f_+R_supp-R_supp*COS(alpha-$C$60/R_supp))</f>
        <v/>
      </c>
      <c r="F60" s="15">
        <f>CHOOSE($B$60,-$C$60/R_load,-alpha,-(alpha-$C$60/R_supp))</f>
        <v/>
      </c>
      <c r="G60" s="15">
        <f>CHOOSE($B$60,R_load*alpha,TL,R_supp*alpha)/20</f>
        <v/>
      </c>
      <c r="H60" s="15">
        <f>$G$60*COS($F$60)</f>
        <v/>
      </c>
      <c r="I60" s="15">
        <f>$G$60*SIN($F$60)</f>
        <v/>
      </c>
      <c r="J60" s="16">
        <f>q_p*$I$60</f>
        <v/>
      </c>
      <c r="K60" s="16">
        <f>-q_p*$H$60</f>
        <v/>
      </c>
      <c r="L60" s="16">
        <f>SUM($J$31:$J$60)-0.5*$J$60</f>
        <v/>
      </c>
      <c r="M60" s="16">
        <f>SUM($K$31:$K$60)-0.5*$K$60</f>
        <v/>
      </c>
      <c r="N60" s="16">
        <f>SUMPRODUCT($D$31:$D$60,$K$31:$K$60)-0.5*$D$60*$K$60</f>
        <v/>
      </c>
      <c r="O60" s="16">
        <f>SUMPRODUCT($E$31:$E$60,$J$31:$J$60)-0.5*$E$60*$J$60</f>
        <v/>
      </c>
      <c r="P60" s="16">
        <f>($N$60-$D$60*$M$60)-($O$60-$E$60*$L$60)</f>
        <v/>
      </c>
      <c r="Q60" s="16">
        <f>-$L$60*COS($F$60)-$M$60*SIN($F$60)</f>
        <v/>
      </c>
      <c r="R60" s="15">
        <f>-COS($F$60)</f>
        <v/>
      </c>
      <c r="S60" s="16">
        <f>-$P$60</f>
        <v/>
      </c>
      <c r="T60" s="15">
        <f>f_-$E$60</f>
        <v/>
      </c>
      <c r="U60" s="16">
        <f>$G$60/EI_</f>
        <v/>
      </c>
      <c r="V60" s="16">
        <f>$G$60/EA_</f>
        <v/>
      </c>
      <c r="W60" s="15">
        <f>$Q$60+P_fr*$R$60</f>
        <v/>
      </c>
      <c r="X60" s="15">
        <f>$S$60+P_fr*$T$60-Mc_fr</f>
        <v/>
      </c>
      <c r="Y60" s="15">
        <f>$W$60/h_calc-6*$X$60/h_calc^2</f>
        <v/>
      </c>
      <c r="Z60" s="15">
        <f>$W$60/h_calc+6*$X$60/h_calc^2</f>
        <v/>
      </c>
      <c r="AA60" s="16">
        <f>$T$60*$U$60</f>
        <v/>
      </c>
      <c r="AB60" s="16">
        <f>$S$60*$U$60</f>
        <v/>
      </c>
      <c r="AC60" s="16">
        <f>$T$60^2*$U$60+$R$60^2*$V$60</f>
        <v/>
      </c>
      <c r="AD60" s="16">
        <f>$T$60*$S$60*$U$60+$R$60*$Q$60*$V$60</f>
        <v/>
      </c>
      <c r="AE60" s="16">
        <f>$D$60*$K$60</f>
        <v/>
      </c>
      <c r="AF60" s="16">
        <f>$E$60*$J$60</f>
        <v/>
      </c>
    </row>
    <row r="61">
      <c r="A61" s="15" t="n">
        <v>31</v>
      </c>
      <c r="B61" s="15">
        <f>IF($A$61&lt;=20,1,IF($A$61&lt;=40,2,3))</f>
        <v/>
      </c>
      <c r="C61" s="15">
        <f>($A$61-20*($B$61-1)-0.5)/20*CHOOSE($B$61,R_load*alpha,TL,R_supp*alpha)</f>
        <v/>
      </c>
      <c r="D61" s="15">
        <f>CHOOSE($B$61,R_load*SIN($C$61/R_load),R_load*SIN(alpha)+$C$61*COS(alpha),c_-R_supp*SIN(alpha-$C$61/R_supp))</f>
        <v/>
      </c>
      <c r="E61" s="15">
        <f>CHOOSE($B$61,f_-R_load+R_load*COS($C$61/R_load),f_-R_load*(1-COS(alpha))-$C$61*SIN(alpha),-f_+R_supp-R_supp*COS(alpha-$C$61/R_supp))</f>
        <v/>
      </c>
      <c r="F61" s="15">
        <f>CHOOSE($B$61,-$C$61/R_load,-alpha,-(alpha-$C$61/R_supp))</f>
        <v/>
      </c>
      <c r="G61" s="15">
        <f>CHOOSE($B$61,R_load*alpha,TL,R_supp*alpha)/20</f>
        <v/>
      </c>
      <c r="H61" s="15">
        <f>$G$61*COS($F$61)</f>
        <v/>
      </c>
      <c r="I61" s="15">
        <f>$G$61*SIN($F$61)</f>
        <v/>
      </c>
      <c r="J61" s="16">
        <f>q_p*$I$61</f>
        <v/>
      </c>
      <c r="K61" s="16">
        <f>-q_p*$H$61</f>
        <v/>
      </c>
      <c r="L61" s="16">
        <f>SUM($J$31:$J$61)-0.5*$J$61</f>
        <v/>
      </c>
      <c r="M61" s="16">
        <f>SUM($K$31:$K$61)-0.5*$K$61</f>
        <v/>
      </c>
      <c r="N61" s="16">
        <f>SUMPRODUCT($D$31:$D$61,$K$31:$K$61)-0.5*$D$61*$K$61</f>
        <v/>
      </c>
      <c r="O61" s="16">
        <f>SUMPRODUCT($E$31:$E$61,$J$31:$J$61)-0.5*$E$61*$J$61</f>
        <v/>
      </c>
      <c r="P61" s="16">
        <f>($N$61-$D$61*$M$61)-($O$61-$E$61*$L$61)</f>
        <v/>
      </c>
      <c r="Q61" s="16">
        <f>-$L$61*COS($F$61)-$M$61*SIN($F$61)</f>
        <v/>
      </c>
      <c r="R61" s="15">
        <f>-COS($F$61)</f>
        <v/>
      </c>
      <c r="S61" s="16">
        <f>-$P$61</f>
        <v/>
      </c>
      <c r="T61" s="15">
        <f>f_-$E$61</f>
        <v/>
      </c>
      <c r="U61" s="16">
        <f>$G$61/EI_</f>
        <v/>
      </c>
      <c r="V61" s="16">
        <f>$G$61/EA_</f>
        <v/>
      </c>
      <c r="W61" s="15">
        <f>$Q$61+P_fr*$R$61</f>
        <v/>
      </c>
      <c r="X61" s="15">
        <f>$S$61+P_fr*$T$61-Mc_fr</f>
        <v/>
      </c>
      <c r="Y61" s="15">
        <f>$W$61/h_calc-6*$X$61/h_calc^2</f>
        <v/>
      </c>
      <c r="Z61" s="15">
        <f>$W$61/h_calc+6*$X$61/h_calc^2</f>
        <v/>
      </c>
      <c r="AA61" s="16">
        <f>$T$61*$U$61</f>
        <v/>
      </c>
      <c r="AB61" s="16">
        <f>$S$61*$U$61</f>
        <v/>
      </c>
      <c r="AC61" s="16">
        <f>$T$61^2*$U$61+$R$61^2*$V$61</f>
        <v/>
      </c>
      <c r="AD61" s="16">
        <f>$T$61*$S$61*$U$61+$R$61*$Q$61*$V$61</f>
        <v/>
      </c>
      <c r="AE61" s="16">
        <f>$D$61*$K$61</f>
        <v/>
      </c>
      <c r="AF61" s="16">
        <f>$E$61*$J$61</f>
        <v/>
      </c>
    </row>
    <row r="62">
      <c r="A62" s="15" t="n">
        <v>32</v>
      </c>
      <c r="B62" s="15">
        <f>IF($A$62&lt;=20,1,IF($A$62&lt;=40,2,3))</f>
        <v/>
      </c>
      <c r="C62" s="15">
        <f>($A$62-20*($B$62-1)-0.5)/20*CHOOSE($B$62,R_load*alpha,TL,R_supp*alpha)</f>
        <v/>
      </c>
      <c r="D62" s="15">
        <f>CHOOSE($B$62,R_load*SIN($C$62/R_load),R_load*SIN(alpha)+$C$62*COS(alpha),c_-R_supp*SIN(alpha-$C$62/R_supp))</f>
        <v/>
      </c>
      <c r="E62" s="15">
        <f>CHOOSE($B$62,f_-R_load+R_load*COS($C$62/R_load),f_-R_load*(1-COS(alpha))-$C$62*SIN(alpha),-f_+R_supp-R_supp*COS(alpha-$C$62/R_supp))</f>
        <v/>
      </c>
      <c r="F62" s="15">
        <f>CHOOSE($B$62,-$C$62/R_load,-alpha,-(alpha-$C$62/R_supp))</f>
        <v/>
      </c>
      <c r="G62" s="15">
        <f>CHOOSE($B$62,R_load*alpha,TL,R_supp*alpha)/20</f>
        <v/>
      </c>
      <c r="H62" s="15">
        <f>$G$62*COS($F$62)</f>
        <v/>
      </c>
      <c r="I62" s="15">
        <f>$G$62*SIN($F$62)</f>
        <v/>
      </c>
      <c r="J62" s="16">
        <f>q_p*$I$62</f>
        <v/>
      </c>
      <c r="K62" s="16">
        <f>-q_p*$H$62</f>
        <v/>
      </c>
      <c r="L62" s="16">
        <f>SUM($J$31:$J$62)-0.5*$J$62</f>
        <v/>
      </c>
      <c r="M62" s="16">
        <f>SUM($K$31:$K$62)-0.5*$K$62</f>
        <v/>
      </c>
      <c r="N62" s="16">
        <f>SUMPRODUCT($D$31:$D$62,$K$31:$K$62)-0.5*$D$62*$K$62</f>
        <v/>
      </c>
      <c r="O62" s="16">
        <f>SUMPRODUCT($E$31:$E$62,$J$31:$J$62)-0.5*$E$62*$J$62</f>
        <v/>
      </c>
      <c r="P62" s="16">
        <f>($N$62-$D$62*$M$62)-($O$62-$E$62*$L$62)</f>
        <v/>
      </c>
      <c r="Q62" s="16">
        <f>-$L$62*COS($F$62)-$M$62*SIN($F$62)</f>
        <v/>
      </c>
      <c r="R62" s="15">
        <f>-COS($F$62)</f>
        <v/>
      </c>
      <c r="S62" s="16">
        <f>-$P$62</f>
        <v/>
      </c>
      <c r="T62" s="15">
        <f>f_-$E$62</f>
        <v/>
      </c>
      <c r="U62" s="16">
        <f>$G$62/EI_</f>
        <v/>
      </c>
      <c r="V62" s="16">
        <f>$G$62/EA_</f>
        <v/>
      </c>
      <c r="W62" s="15">
        <f>$Q$62+P_fr*$R$62</f>
        <v/>
      </c>
      <c r="X62" s="15">
        <f>$S$62+P_fr*$T$62-Mc_fr</f>
        <v/>
      </c>
      <c r="Y62" s="15">
        <f>$W$62/h_calc-6*$X$62/h_calc^2</f>
        <v/>
      </c>
      <c r="Z62" s="15">
        <f>$W$62/h_calc+6*$X$62/h_calc^2</f>
        <v/>
      </c>
      <c r="AA62" s="16">
        <f>$T$62*$U$62</f>
        <v/>
      </c>
      <c r="AB62" s="16">
        <f>$S$62*$U$62</f>
        <v/>
      </c>
      <c r="AC62" s="16">
        <f>$T$62^2*$U$62+$R$62^2*$V$62</f>
        <v/>
      </c>
      <c r="AD62" s="16">
        <f>$T$62*$S$62*$U$62+$R$62*$Q$62*$V$62</f>
        <v/>
      </c>
      <c r="AE62" s="16">
        <f>$D$62*$K$62</f>
        <v/>
      </c>
      <c r="AF62" s="16">
        <f>$E$62*$J$62</f>
        <v/>
      </c>
    </row>
    <row r="63">
      <c r="A63" s="15" t="n">
        <v>33</v>
      </c>
      <c r="B63" s="15">
        <f>IF($A$63&lt;=20,1,IF($A$63&lt;=40,2,3))</f>
        <v/>
      </c>
      <c r="C63" s="15">
        <f>($A$63-20*($B$63-1)-0.5)/20*CHOOSE($B$63,R_load*alpha,TL,R_supp*alpha)</f>
        <v/>
      </c>
      <c r="D63" s="15">
        <f>CHOOSE($B$63,R_load*SIN($C$63/R_load),R_load*SIN(alpha)+$C$63*COS(alpha),c_-R_supp*SIN(alpha-$C$63/R_supp))</f>
        <v/>
      </c>
      <c r="E63" s="15">
        <f>CHOOSE($B$63,f_-R_load+R_load*COS($C$63/R_load),f_-R_load*(1-COS(alpha))-$C$63*SIN(alpha),-f_+R_supp-R_supp*COS(alpha-$C$63/R_supp))</f>
        <v/>
      </c>
      <c r="F63" s="15">
        <f>CHOOSE($B$63,-$C$63/R_load,-alpha,-(alpha-$C$63/R_supp))</f>
        <v/>
      </c>
      <c r="G63" s="15">
        <f>CHOOSE($B$63,R_load*alpha,TL,R_supp*alpha)/20</f>
        <v/>
      </c>
      <c r="H63" s="15">
        <f>$G$63*COS($F$63)</f>
        <v/>
      </c>
      <c r="I63" s="15">
        <f>$G$63*SIN($F$63)</f>
        <v/>
      </c>
      <c r="J63" s="16">
        <f>q_p*$I$63</f>
        <v/>
      </c>
      <c r="K63" s="16">
        <f>-q_p*$H$63</f>
        <v/>
      </c>
      <c r="L63" s="16">
        <f>SUM($J$31:$J$63)-0.5*$J$63</f>
        <v/>
      </c>
      <c r="M63" s="16">
        <f>SUM($K$31:$K$63)-0.5*$K$63</f>
        <v/>
      </c>
      <c r="N63" s="16">
        <f>SUMPRODUCT($D$31:$D$63,$K$31:$K$63)-0.5*$D$63*$K$63</f>
        <v/>
      </c>
      <c r="O63" s="16">
        <f>SUMPRODUCT($E$31:$E$63,$J$31:$J$63)-0.5*$E$63*$J$63</f>
        <v/>
      </c>
      <c r="P63" s="16">
        <f>($N$63-$D$63*$M$63)-($O$63-$E$63*$L$63)</f>
        <v/>
      </c>
      <c r="Q63" s="16">
        <f>-$L$63*COS($F$63)-$M$63*SIN($F$63)</f>
        <v/>
      </c>
      <c r="R63" s="15">
        <f>-COS($F$63)</f>
        <v/>
      </c>
      <c r="S63" s="16">
        <f>-$P$63</f>
        <v/>
      </c>
      <c r="T63" s="15">
        <f>f_-$E$63</f>
        <v/>
      </c>
      <c r="U63" s="16">
        <f>$G$63/EI_</f>
        <v/>
      </c>
      <c r="V63" s="16">
        <f>$G$63/EA_</f>
        <v/>
      </c>
      <c r="W63" s="15">
        <f>$Q$63+P_fr*$R$63</f>
        <v/>
      </c>
      <c r="X63" s="15">
        <f>$S$63+P_fr*$T$63-Mc_fr</f>
        <v/>
      </c>
      <c r="Y63" s="15">
        <f>$W$63/h_calc-6*$X$63/h_calc^2</f>
        <v/>
      </c>
      <c r="Z63" s="15">
        <f>$W$63/h_calc+6*$X$63/h_calc^2</f>
        <v/>
      </c>
      <c r="AA63" s="16">
        <f>$T$63*$U$63</f>
        <v/>
      </c>
      <c r="AB63" s="16">
        <f>$S$63*$U$63</f>
        <v/>
      </c>
      <c r="AC63" s="16">
        <f>$T$63^2*$U$63+$R$63^2*$V$63</f>
        <v/>
      </c>
      <c r="AD63" s="16">
        <f>$T$63*$S$63*$U$63+$R$63*$Q$63*$V$63</f>
        <v/>
      </c>
      <c r="AE63" s="16">
        <f>$D$63*$K$63</f>
        <v/>
      </c>
      <c r="AF63" s="16">
        <f>$E$63*$J$63</f>
        <v/>
      </c>
    </row>
    <row r="64">
      <c r="A64" s="15" t="n">
        <v>34</v>
      </c>
      <c r="B64" s="15">
        <f>IF($A$64&lt;=20,1,IF($A$64&lt;=40,2,3))</f>
        <v/>
      </c>
      <c r="C64" s="15">
        <f>($A$64-20*($B$64-1)-0.5)/20*CHOOSE($B$64,R_load*alpha,TL,R_supp*alpha)</f>
        <v/>
      </c>
      <c r="D64" s="15">
        <f>CHOOSE($B$64,R_load*SIN($C$64/R_load),R_load*SIN(alpha)+$C$64*COS(alpha),c_-R_supp*SIN(alpha-$C$64/R_supp))</f>
        <v/>
      </c>
      <c r="E64" s="15">
        <f>CHOOSE($B$64,f_-R_load+R_load*COS($C$64/R_load),f_-R_load*(1-COS(alpha))-$C$64*SIN(alpha),-f_+R_supp-R_supp*COS(alpha-$C$64/R_supp))</f>
        <v/>
      </c>
      <c r="F64" s="15">
        <f>CHOOSE($B$64,-$C$64/R_load,-alpha,-(alpha-$C$64/R_supp))</f>
        <v/>
      </c>
      <c r="G64" s="15">
        <f>CHOOSE($B$64,R_load*alpha,TL,R_supp*alpha)/20</f>
        <v/>
      </c>
      <c r="H64" s="15">
        <f>$G$64*COS($F$64)</f>
        <v/>
      </c>
      <c r="I64" s="15">
        <f>$G$64*SIN($F$64)</f>
        <v/>
      </c>
      <c r="J64" s="16">
        <f>q_p*$I$64</f>
        <v/>
      </c>
      <c r="K64" s="16">
        <f>-q_p*$H$64</f>
        <v/>
      </c>
      <c r="L64" s="16">
        <f>SUM($J$31:$J$64)-0.5*$J$64</f>
        <v/>
      </c>
      <c r="M64" s="16">
        <f>SUM($K$31:$K$64)-0.5*$K$64</f>
        <v/>
      </c>
      <c r="N64" s="16">
        <f>SUMPRODUCT($D$31:$D$64,$K$31:$K$64)-0.5*$D$64*$K$64</f>
        <v/>
      </c>
      <c r="O64" s="16">
        <f>SUMPRODUCT($E$31:$E$64,$J$31:$J$64)-0.5*$E$64*$J$64</f>
        <v/>
      </c>
      <c r="P64" s="16">
        <f>($N$64-$D$64*$M$64)-($O$64-$E$64*$L$64)</f>
        <v/>
      </c>
      <c r="Q64" s="16">
        <f>-$L$64*COS($F$64)-$M$64*SIN($F$64)</f>
        <v/>
      </c>
      <c r="R64" s="15">
        <f>-COS($F$64)</f>
        <v/>
      </c>
      <c r="S64" s="16">
        <f>-$P$64</f>
        <v/>
      </c>
      <c r="T64" s="15">
        <f>f_-$E$64</f>
        <v/>
      </c>
      <c r="U64" s="16">
        <f>$G$64/EI_</f>
        <v/>
      </c>
      <c r="V64" s="16">
        <f>$G$64/EA_</f>
        <v/>
      </c>
      <c r="W64" s="15">
        <f>$Q$64+P_fr*$R$64</f>
        <v/>
      </c>
      <c r="X64" s="15">
        <f>$S$64+P_fr*$T$64-Mc_fr</f>
        <v/>
      </c>
      <c r="Y64" s="15">
        <f>$W$64/h_calc-6*$X$64/h_calc^2</f>
        <v/>
      </c>
      <c r="Z64" s="15">
        <f>$W$64/h_calc+6*$X$64/h_calc^2</f>
        <v/>
      </c>
      <c r="AA64" s="16">
        <f>$T$64*$U$64</f>
        <v/>
      </c>
      <c r="AB64" s="16">
        <f>$S$64*$U$64</f>
        <v/>
      </c>
      <c r="AC64" s="16">
        <f>$T$64^2*$U$64+$R$64^2*$V$64</f>
        <v/>
      </c>
      <c r="AD64" s="16">
        <f>$T$64*$S$64*$U$64+$R$64*$Q$64*$V$64</f>
        <v/>
      </c>
      <c r="AE64" s="16">
        <f>$D$64*$K$64</f>
        <v/>
      </c>
      <c r="AF64" s="16">
        <f>$E$64*$J$64</f>
        <v/>
      </c>
    </row>
    <row r="65">
      <c r="A65" s="15" t="n">
        <v>35</v>
      </c>
      <c r="B65" s="15">
        <f>IF($A$65&lt;=20,1,IF($A$65&lt;=40,2,3))</f>
        <v/>
      </c>
      <c r="C65" s="15">
        <f>($A$65-20*($B$65-1)-0.5)/20*CHOOSE($B$65,R_load*alpha,TL,R_supp*alpha)</f>
        <v/>
      </c>
      <c r="D65" s="15">
        <f>CHOOSE($B$65,R_load*SIN($C$65/R_load),R_load*SIN(alpha)+$C$65*COS(alpha),c_-R_supp*SIN(alpha-$C$65/R_supp))</f>
        <v/>
      </c>
      <c r="E65" s="15">
        <f>CHOOSE($B$65,f_-R_load+R_load*COS($C$65/R_load),f_-R_load*(1-COS(alpha))-$C$65*SIN(alpha),-f_+R_supp-R_supp*COS(alpha-$C$65/R_supp))</f>
        <v/>
      </c>
      <c r="F65" s="15">
        <f>CHOOSE($B$65,-$C$65/R_load,-alpha,-(alpha-$C$65/R_supp))</f>
        <v/>
      </c>
      <c r="G65" s="15">
        <f>CHOOSE($B$65,R_load*alpha,TL,R_supp*alpha)/20</f>
        <v/>
      </c>
      <c r="H65" s="15">
        <f>$G$65*COS($F$65)</f>
        <v/>
      </c>
      <c r="I65" s="15">
        <f>$G$65*SIN($F$65)</f>
        <v/>
      </c>
      <c r="J65" s="16">
        <f>q_p*$I$65</f>
        <v/>
      </c>
      <c r="K65" s="16">
        <f>-q_p*$H$65</f>
        <v/>
      </c>
      <c r="L65" s="16">
        <f>SUM($J$31:$J$65)-0.5*$J$65</f>
        <v/>
      </c>
      <c r="M65" s="16">
        <f>SUM($K$31:$K$65)-0.5*$K$65</f>
        <v/>
      </c>
      <c r="N65" s="16">
        <f>SUMPRODUCT($D$31:$D$65,$K$31:$K$65)-0.5*$D$65*$K$65</f>
        <v/>
      </c>
      <c r="O65" s="16">
        <f>SUMPRODUCT($E$31:$E$65,$J$31:$J$65)-0.5*$E$65*$J$65</f>
        <v/>
      </c>
      <c r="P65" s="16">
        <f>($N$65-$D$65*$M$65)-($O$65-$E$65*$L$65)</f>
        <v/>
      </c>
      <c r="Q65" s="16">
        <f>-$L$65*COS($F$65)-$M$65*SIN($F$65)</f>
        <v/>
      </c>
      <c r="R65" s="15">
        <f>-COS($F$65)</f>
        <v/>
      </c>
      <c r="S65" s="16">
        <f>-$P$65</f>
        <v/>
      </c>
      <c r="T65" s="15">
        <f>f_-$E$65</f>
        <v/>
      </c>
      <c r="U65" s="16">
        <f>$G$65/EI_</f>
        <v/>
      </c>
      <c r="V65" s="16">
        <f>$G$65/EA_</f>
        <v/>
      </c>
      <c r="W65" s="15">
        <f>$Q$65+P_fr*$R$65</f>
        <v/>
      </c>
      <c r="X65" s="15">
        <f>$S$65+P_fr*$T$65-Mc_fr</f>
        <v/>
      </c>
      <c r="Y65" s="15">
        <f>$W$65/h_calc-6*$X$65/h_calc^2</f>
        <v/>
      </c>
      <c r="Z65" s="15">
        <f>$W$65/h_calc+6*$X$65/h_calc^2</f>
        <v/>
      </c>
      <c r="AA65" s="16">
        <f>$T$65*$U$65</f>
        <v/>
      </c>
      <c r="AB65" s="16">
        <f>$S$65*$U$65</f>
        <v/>
      </c>
      <c r="AC65" s="16">
        <f>$T$65^2*$U$65+$R$65^2*$V$65</f>
        <v/>
      </c>
      <c r="AD65" s="16">
        <f>$T$65*$S$65*$U$65+$R$65*$Q$65*$V$65</f>
        <v/>
      </c>
      <c r="AE65" s="16">
        <f>$D$65*$K$65</f>
        <v/>
      </c>
      <c r="AF65" s="16">
        <f>$E$65*$J$65</f>
        <v/>
      </c>
    </row>
    <row r="66">
      <c r="A66" s="15" t="n">
        <v>36</v>
      </c>
      <c r="B66" s="15">
        <f>IF($A$66&lt;=20,1,IF($A$66&lt;=40,2,3))</f>
        <v/>
      </c>
      <c r="C66" s="15">
        <f>($A$66-20*($B$66-1)-0.5)/20*CHOOSE($B$66,R_load*alpha,TL,R_supp*alpha)</f>
        <v/>
      </c>
      <c r="D66" s="15">
        <f>CHOOSE($B$66,R_load*SIN($C$66/R_load),R_load*SIN(alpha)+$C$66*COS(alpha),c_-R_supp*SIN(alpha-$C$66/R_supp))</f>
        <v/>
      </c>
      <c r="E66" s="15">
        <f>CHOOSE($B$66,f_-R_load+R_load*COS($C$66/R_load),f_-R_load*(1-COS(alpha))-$C$66*SIN(alpha),-f_+R_supp-R_supp*COS(alpha-$C$66/R_supp))</f>
        <v/>
      </c>
      <c r="F66" s="15">
        <f>CHOOSE($B$66,-$C$66/R_load,-alpha,-(alpha-$C$66/R_supp))</f>
        <v/>
      </c>
      <c r="G66" s="15">
        <f>CHOOSE($B$66,R_load*alpha,TL,R_supp*alpha)/20</f>
        <v/>
      </c>
      <c r="H66" s="15">
        <f>$G$66*COS($F$66)</f>
        <v/>
      </c>
      <c r="I66" s="15">
        <f>$G$66*SIN($F$66)</f>
        <v/>
      </c>
      <c r="J66" s="16">
        <f>q_p*$I$66</f>
        <v/>
      </c>
      <c r="K66" s="16">
        <f>-q_p*$H$66</f>
        <v/>
      </c>
      <c r="L66" s="16">
        <f>SUM($J$31:$J$66)-0.5*$J$66</f>
        <v/>
      </c>
      <c r="M66" s="16">
        <f>SUM($K$31:$K$66)-0.5*$K$66</f>
        <v/>
      </c>
      <c r="N66" s="16">
        <f>SUMPRODUCT($D$31:$D$66,$K$31:$K$66)-0.5*$D$66*$K$66</f>
        <v/>
      </c>
      <c r="O66" s="16">
        <f>SUMPRODUCT($E$31:$E$66,$J$31:$J$66)-0.5*$E$66*$J$66</f>
        <v/>
      </c>
      <c r="P66" s="16">
        <f>($N$66-$D$66*$M$66)-($O$66-$E$66*$L$66)</f>
        <v/>
      </c>
      <c r="Q66" s="16">
        <f>-$L$66*COS($F$66)-$M$66*SIN($F$66)</f>
        <v/>
      </c>
      <c r="R66" s="15">
        <f>-COS($F$66)</f>
        <v/>
      </c>
      <c r="S66" s="16">
        <f>-$P$66</f>
        <v/>
      </c>
      <c r="T66" s="15">
        <f>f_-$E$66</f>
        <v/>
      </c>
      <c r="U66" s="16">
        <f>$G$66/EI_</f>
        <v/>
      </c>
      <c r="V66" s="16">
        <f>$G$66/EA_</f>
        <v/>
      </c>
      <c r="W66" s="15">
        <f>$Q$66+P_fr*$R$66</f>
        <v/>
      </c>
      <c r="X66" s="15">
        <f>$S$66+P_fr*$T$66-Mc_fr</f>
        <v/>
      </c>
      <c r="Y66" s="15">
        <f>$W$66/h_calc-6*$X$66/h_calc^2</f>
        <v/>
      </c>
      <c r="Z66" s="15">
        <f>$W$66/h_calc+6*$X$66/h_calc^2</f>
        <v/>
      </c>
      <c r="AA66" s="16">
        <f>$T$66*$U$66</f>
        <v/>
      </c>
      <c r="AB66" s="16">
        <f>$S$66*$U$66</f>
        <v/>
      </c>
      <c r="AC66" s="16">
        <f>$T$66^2*$U$66+$R$66^2*$V$66</f>
        <v/>
      </c>
      <c r="AD66" s="16">
        <f>$T$66*$S$66*$U$66+$R$66*$Q$66*$V$66</f>
        <v/>
      </c>
      <c r="AE66" s="16">
        <f>$D$66*$K$66</f>
        <v/>
      </c>
      <c r="AF66" s="16">
        <f>$E$66*$J$66</f>
        <v/>
      </c>
    </row>
    <row r="67">
      <c r="A67" s="15" t="n">
        <v>37</v>
      </c>
      <c r="B67" s="15">
        <f>IF($A$67&lt;=20,1,IF($A$67&lt;=40,2,3))</f>
        <v/>
      </c>
      <c r="C67" s="15">
        <f>($A$67-20*($B$67-1)-0.5)/20*CHOOSE($B$67,R_load*alpha,TL,R_supp*alpha)</f>
        <v/>
      </c>
      <c r="D67" s="15">
        <f>CHOOSE($B$67,R_load*SIN($C$67/R_load),R_load*SIN(alpha)+$C$67*COS(alpha),c_-R_supp*SIN(alpha-$C$67/R_supp))</f>
        <v/>
      </c>
      <c r="E67" s="15">
        <f>CHOOSE($B$67,f_-R_load+R_load*COS($C$67/R_load),f_-R_load*(1-COS(alpha))-$C$67*SIN(alpha),-f_+R_supp-R_supp*COS(alpha-$C$67/R_supp))</f>
        <v/>
      </c>
      <c r="F67" s="15">
        <f>CHOOSE($B$67,-$C$67/R_load,-alpha,-(alpha-$C$67/R_supp))</f>
        <v/>
      </c>
      <c r="G67" s="15">
        <f>CHOOSE($B$67,R_load*alpha,TL,R_supp*alpha)/20</f>
        <v/>
      </c>
      <c r="H67" s="15">
        <f>$G$67*COS($F$67)</f>
        <v/>
      </c>
      <c r="I67" s="15">
        <f>$G$67*SIN($F$67)</f>
        <v/>
      </c>
      <c r="J67" s="16">
        <f>q_p*$I$67</f>
        <v/>
      </c>
      <c r="K67" s="16">
        <f>-q_p*$H$67</f>
        <v/>
      </c>
      <c r="L67" s="16">
        <f>SUM($J$31:$J$67)-0.5*$J$67</f>
        <v/>
      </c>
      <c r="M67" s="16">
        <f>SUM($K$31:$K$67)-0.5*$K$67</f>
        <v/>
      </c>
      <c r="N67" s="16">
        <f>SUMPRODUCT($D$31:$D$67,$K$31:$K$67)-0.5*$D$67*$K$67</f>
        <v/>
      </c>
      <c r="O67" s="16">
        <f>SUMPRODUCT($E$31:$E$67,$J$31:$J$67)-0.5*$E$67*$J$67</f>
        <v/>
      </c>
      <c r="P67" s="16">
        <f>($N$67-$D$67*$M$67)-($O$67-$E$67*$L$67)</f>
        <v/>
      </c>
      <c r="Q67" s="16">
        <f>-$L$67*COS($F$67)-$M$67*SIN($F$67)</f>
        <v/>
      </c>
      <c r="R67" s="15">
        <f>-COS($F$67)</f>
        <v/>
      </c>
      <c r="S67" s="16">
        <f>-$P$67</f>
        <v/>
      </c>
      <c r="T67" s="15">
        <f>f_-$E$67</f>
        <v/>
      </c>
      <c r="U67" s="16">
        <f>$G$67/EI_</f>
        <v/>
      </c>
      <c r="V67" s="16">
        <f>$G$67/EA_</f>
        <v/>
      </c>
      <c r="W67" s="15">
        <f>$Q$67+P_fr*$R$67</f>
        <v/>
      </c>
      <c r="X67" s="15">
        <f>$S$67+P_fr*$T$67-Mc_fr</f>
        <v/>
      </c>
      <c r="Y67" s="15">
        <f>$W$67/h_calc-6*$X$67/h_calc^2</f>
        <v/>
      </c>
      <c r="Z67" s="15">
        <f>$W$67/h_calc+6*$X$67/h_calc^2</f>
        <v/>
      </c>
      <c r="AA67" s="16">
        <f>$T$67*$U$67</f>
        <v/>
      </c>
      <c r="AB67" s="16">
        <f>$S$67*$U$67</f>
        <v/>
      </c>
      <c r="AC67" s="16">
        <f>$T$67^2*$U$67+$R$67^2*$V$67</f>
        <v/>
      </c>
      <c r="AD67" s="16">
        <f>$T$67*$S$67*$U$67+$R$67*$Q$67*$V$67</f>
        <v/>
      </c>
      <c r="AE67" s="16">
        <f>$D$67*$K$67</f>
        <v/>
      </c>
      <c r="AF67" s="16">
        <f>$E$67*$J$67</f>
        <v/>
      </c>
    </row>
    <row r="68">
      <c r="A68" s="15" t="n">
        <v>38</v>
      </c>
      <c r="B68" s="15">
        <f>IF($A$68&lt;=20,1,IF($A$68&lt;=40,2,3))</f>
        <v/>
      </c>
      <c r="C68" s="15">
        <f>($A$68-20*($B$68-1)-0.5)/20*CHOOSE($B$68,R_load*alpha,TL,R_supp*alpha)</f>
        <v/>
      </c>
      <c r="D68" s="15">
        <f>CHOOSE($B$68,R_load*SIN($C$68/R_load),R_load*SIN(alpha)+$C$68*COS(alpha),c_-R_supp*SIN(alpha-$C$68/R_supp))</f>
        <v/>
      </c>
      <c r="E68" s="15">
        <f>CHOOSE($B$68,f_-R_load+R_load*COS($C$68/R_load),f_-R_load*(1-COS(alpha))-$C$68*SIN(alpha),-f_+R_supp-R_supp*COS(alpha-$C$68/R_supp))</f>
        <v/>
      </c>
      <c r="F68" s="15">
        <f>CHOOSE($B$68,-$C$68/R_load,-alpha,-(alpha-$C$68/R_supp))</f>
        <v/>
      </c>
      <c r="G68" s="15">
        <f>CHOOSE($B$68,R_load*alpha,TL,R_supp*alpha)/20</f>
        <v/>
      </c>
      <c r="H68" s="15">
        <f>$G$68*COS($F$68)</f>
        <v/>
      </c>
      <c r="I68" s="15">
        <f>$G$68*SIN($F$68)</f>
        <v/>
      </c>
      <c r="J68" s="16">
        <f>q_p*$I$68</f>
        <v/>
      </c>
      <c r="K68" s="16">
        <f>-q_p*$H$68</f>
        <v/>
      </c>
      <c r="L68" s="16">
        <f>SUM($J$31:$J$68)-0.5*$J$68</f>
        <v/>
      </c>
      <c r="M68" s="16">
        <f>SUM($K$31:$K$68)-0.5*$K$68</f>
        <v/>
      </c>
      <c r="N68" s="16">
        <f>SUMPRODUCT($D$31:$D$68,$K$31:$K$68)-0.5*$D$68*$K$68</f>
        <v/>
      </c>
      <c r="O68" s="16">
        <f>SUMPRODUCT($E$31:$E$68,$J$31:$J$68)-0.5*$E$68*$J$68</f>
        <v/>
      </c>
      <c r="P68" s="16">
        <f>($N$68-$D$68*$M$68)-($O$68-$E$68*$L$68)</f>
        <v/>
      </c>
      <c r="Q68" s="16">
        <f>-$L$68*COS($F$68)-$M$68*SIN($F$68)</f>
        <v/>
      </c>
      <c r="R68" s="15">
        <f>-COS($F$68)</f>
        <v/>
      </c>
      <c r="S68" s="16">
        <f>-$P$68</f>
        <v/>
      </c>
      <c r="T68" s="15">
        <f>f_-$E$68</f>
        <v/>
      </c>
      <c r="U68" s="16">
        <f>$G$68/EI_</f>
        <v/>
      </c>
      <c r="V68" s="16">
        <f>$G$68/EA_</f>
        <v/>
      </c>
      <c r="W68" s="15">
        <f>$Q$68+P_fr*$R$68</f>
        <v/>
      </c>
      <c r="X68" s="15">
        <f>$S$68+P_fr*$T$68-Mc_fr</f>
        <v/>
      </c>
      <c r="Y68" s="15">
        <f>$W$68/h_calc-6*$X$68/h_calc^2</f>
        <v/>
      </c>
      <c r="Z68" s="15">
        <f>$W$68/h_calc+6*$X$68/h_calc^2</f>
        <v/>
      </c>
      <c r="AA68" s="16">
        <f>$T$68*$U$68</f>
        <v/>
      </c>
      <c r="AB68" s="16">
        <f>$S$68*$U$68</f>
        <v/>
      </c>
      <c r="AC68" s="16">
        <f>$T$68^2*$U$68+$R$68^2*$V$68</f>
        <v/>
      </c>
      <c r="AD68" s="16">
        <f>$T$68*$S$68*$U$68+$R$68*$Q$68*$V$68</f>
        <v/>
      </c>
      <c r="AE68" s="16">
        <f>$D$68*$K$68</f>
        <v/>
      </c>
      <c r="AF68" s="16">
        <f>$E$68*$J$68</f>
        <v/>
      </c>
    </row>
    <row r="69">
      <c r="A69" s="15" t="n">
        <v>39</v>
      </c>
      <c r="B69" s="15">
        <f>IF($A$69&lt;=20,1,IF($A$69&lt;=40,2,3))</f>
        <v/>
      </c>
      <c r="C69" s="15">
        <f>($A$69-20*($B$69-1)-0.5)/20*CHOOSE($B$69,R_load*alpha,TL,R_supp*alpha)</f>
        <v/>
      </c>
      <c r="D69" s="15">
        <f>CHOOSE($B$69,R_load*SIN($C$69/R_load),R_load*SIN(alpha)+$C$69*COS(alpha),c_-R_supp*SIN(alpha-$C$69/R_supp))</f>
        <v/>
      </c>
      <c r="E69" s="15">
        <f>CHOOSE($B$69,f_-R_load+R_load*COS($C$69/R_load),f_-R_load*(1-COS(alpha))-$C$69*SIN(alpha),-f_+R_supp-R_supp*COS(alpha-$C$69/R_supp))</f>
        <v/>
      </c>
      <c r="F69" s="15">
        <f>CHOOSE($B$69,-$C$69/R_load,-alpha,-(alpha-$C$69/R_supp))</f>
        <v/>
      </c>
      <c r="G69" s="15">
        <f>CHOOSE($B$69,R_load*alpha,TL,R_supp*alpha)/20</f>
        <v/>
      </c>
      <c r="H69" s="15">
        <f>$G$69*COS($F$69)</f>
        <v/>
      </c>
      <c r="I69" s="15">
        <f>$G$69*SIN($F$69)</f>
        <v/>
      </c>
      <c r="J69" s="16">
        <f>q_p*$I$69</f>
        <v/>
      </c>
      <c r="K69" s="16">
        <f>-q_p*$H$69</f>
        <v/>
      </c>
      <c r="L69" s="16">
        <f>SUM($J$31:$J$69)-0.5*$J$69</f>
        <v/>
      </c>
      <c r="M69" s="16">
        <f>SUM($K$31:$K$69)-0.5*$K$69</f>
        <v/>
      </c>
      <c r="N69" s="16">
        <f>SUMPRODUCT($D$31:$D$69,$K$31:$K$69)-0.5*$D$69*$K$69</f>
        <v/>
      </c>
      <c r="O69" s="16">
        <f>SUMPRODUCT($E$31:$E$69,$J$31:$J$69)-0.5*$E$69*$J$69</f>
        <v/>
      </c>
      <c r="P69" s="16">
        <f>($N$69-$D$69*$M$69)-($O$69-$E$69*$L$69)</f>
        <v/>
      </c>
      <c r="Q69" s="16">
        <f>-$L$69*COS($F$69)-$M$69*SIN($F$69)</f>
        <v/>
      </c>
      <c r="R69" s="15">
        <f>-COS($F$69)</f>
        <v/>
      </c>
      <c r="S69" s="16">
        <f>-$P$69</f>
        <v/>
      </c>
      <c r="T69" s="15">
        <f>f_-$E$69</f>
        <v/>
      </c>
      <c r="U69" s="16">
        <f>$G$69/EI_</f>
        <v/>
      </c>
      <c r="V69" s="16">
        <f>$G$69/EA_</f>
        <v/>
      </c>
      <c r="W69" s="15">
        <f>$Q$69+P_fr*$R$69</f>
        <v/>
      </c>
      <c r="X69" s="15">
        <f>$S$69+P_fr*$T$69-Mc_fr</f>
        <v/>
      </c>
      <c r="Y69" s="15">
        <f>$W$69/h_calc-6*$X$69/h_calc^2</f>
        <v/>
      </c>
      <c r="Z69" s="15">
        <f>$W$69/h_calc+6*$X$69/h_calc^2</f>
        <v/>
      </c>
      <c r="AA69" s="16">
        <f>$T$69*$U$69</f>
        <v/>
      </c>
      <c r="AB69" s="16">
        <f>$S$69*$U$69</f>
        <v/>
      </c>
      <c r="AC69" s="16">
        <f>$T$69^2*$U$69+$R$69^2*$V$69</f>
        <v/>
      </c>
      <c r="AD69" s="16">
        <f>$T$69*$S$69*$U$69+$R$69*$Q$69*$V$69</f>
        <v/>
      </c>
      <c r="AE69" s="16">
        <f>$D$69*$K$69</f>
        <v/>
      </c>
      <c r="AF69" s="16">
        <f>$E$69*$J$69</f>
        <v/>
      </c>
    </row>
    <row r="70">
      <c r="A70" s="15" t="n">
        <v>40</v>
      </c>
      <c r="B70" s="15">
        <f>IF($A$70&lt;=20,1,IF($A$70&lt;=40,2,3))</f>
        <v/>
      </c>
      <c r="C70" s="15">
        <f>($A$70-20*($B$70-1)-0.5)/20*CHOOSE($B$70,R_load*alpha,TL,R_supp*alpha)</f>
        <v/>
      </c>
      <c r="D70" s="15">
        <f>CHOOSE($B$70,R_load*SIN($C$70/R_load),R_load*SIN(alpha)+$C$70*COS(alpha),c_-R_supp*SIN(alpha-$C$70/R_supp))</f>
        <v/>
      </c>
      <c r="E70" s="15">
        <f>CHOOSE($B$70,f_-R_load+R_load*COS($C$70/R_load),f_-R_load*(1-COS(alpha))-$C$70*SIN(alpha),-f_+R_supp-R_supp*COS(alpha-$C$70/R_supp))</f>
        <v/>
      </c>
      <c r="F70" s="15">
        <f>CHOOSE($B$70,-$C$70/R_load,-alpha,-(alpha-$C$70/R_supp))</f>
        <v/>
      </c>
      <c r="G70" s="15">
        <f>CHOOSE($B$70,R_load*alpha,TL,R_supp*alpha)/20</f>
        <v/>
      </c>
      <c r="H70" s="15">
        <f>$G$70*COS($F$70)</f>
        <v/>
      </c>
      <c r="I70" s="15">
        <f>$G$70*SIN($F$70)</f>
        <v/>
      </c>
      <c r="J70" s="16">
        <f>q_p*$I$70</f>
        <v/>
      </c>
      <c r="K70" s="16">
        <f>-q_p*$H$70</f>
        <v/>
      </c>
      <c r="L70" s="16">
        <f>SUM($J$31:$J$70)-0.5*$J$70</f>
        <v/>
      </c>
      <c r="M70" s="16">
        <f>SUM($K$31:$K$70)-0.5*$K$70</f>
        <v/>
      </c>
      <c r="N70" s="16">
        <f>SUMPRODUCT($D$31:$D$70,$K$31:$K$70)-0.5*$D$70*$K$70</f>
        <v/>
      </c>
      <c r="O70" s="16">
        <f>SUMPRODUCT($E$31:$E$70,$J$31:$J$70)-0.5*$E$70*$J$70</f>
        <v/>
      </c>
      <c r="P70" s="16">
        <f>($N$70-$D$70*$M$70)-($O$70-$E$70*$L$70)</f>
        <v/>
      </c>
      <c r="Q70" s="16">
        <f>-$L$70*COS($F$70)-$M$70*SIN($F$70)</f>
        <v/>
      </c>
      <c r="R70" s="15">
        <f>-COS($F$70)</f>
        <v/>
      </c>
      <c r="S70" s="16">
        <f>-$P$70</f>
        <v/>
      </c>
      <c r="T70" s="15">
        <f>f_-$E$70</f>
        <v/>
      </c>
      <c r="U70" s="16">
        <f>$G$70/EI_</f>
        <v/>
      </c>
      <c r="V70" s="16">
        <f>$G$70/EA_</f>
        <v/>
      </c>
      <c r="W70" s="15">
        <f>$Q$70+P_fr*$R$70</f>
        <v/>
      </c>
      <c r="X70" s="15">
        <f>$S$70+P_fr*$T$70-Mc_fr</f>
        <v/>
      </c>
      <c r="Y70" s="15">
        <f>$W$70/h_calc-6*$X$70/h_calc^2</f>
        <v/>
      </c>
      <c r="Z70" s="15">
        <f>$W$70/h_calc+6*$X$70/h_calc^2</f>
        <v/>
      </c>
      <c r="AA70" s="16">
        <f>$T$70*$U$70</f>
        <v/>
      </c>
      <c r="AB70" s="16">
        <f>$S$70*$U$70</f>
        <v/>
      </c>
      <c r="AC70" s="16">
        <f>$T$70^2*$U$70+$R$70^2*$V$70</f>
        <v/>
      </c>
      <c r="AD70" s="16">
        <f>$T$70*$S$70*$U$70+$R$70*$Q$70*$V$70</f>
        <v/>
      </c>
      <c r="AE70" s="16">
        <f>$D$70*$K$70</f>
        <v/>
      </c>
      <c r="AF70" s="16">
        <f>$E$70*$J$70</f>
        <v/>
      </c>
    </row>
    <row r="71">
      <c r="A71" s="15" t="n">
        <v>41</v>
      </c>
      <c r="B71" s="15">
        <f>IF($A$71&lt;=20,1,IF($A$71&lt;=40,2,3))</f>
        <v/>
      </c>
      <c r="C71" s="15">
        <f>($A$71-20*($B$71-1)-0.5)/20*CHOOSE($B$71,R_load*alpha,TL,R_supp*alpha)</f>
        <v/>
      </c>
      <c r="D71" s="15">
        <f>CHOOSE($B$71,R_load*SIN($C$71/R_load),R_load*SIN(alpha)+$C$71*COS(alpha),c_-R_supp*SIN(alpha-$C$71/R_supp))</f>
        <v/>
      </c>
      <c r="E71" s="15">
        <f>CHOOSE($B$71,f_-R_load+R_load*COS($C$71/R_load),f_-R_load*(1-COS(alpha))-$C$71*SIN(alpha),-f_+R_supp-R_supp*COS(alpha-$C$71/R_supp))</f>
        <v/>
      </c>
      <c r="F71" s="15">
        <f>CHOOSE($B$71,-$C$71/R_load,-alpha,-(alpha-$C$71/R_supp))</f>
        <v/>
      </c>
      <c r="G71" s="15">
        <f>CHOOSE($B$71,R_load*alpha,TL,R_supp*alpha)/20</f>
        <v/>
      </c>
      <c r="H71" s="15">
        <f>$G$71*COS($F$71)</f>
        <v/>
      </c>
      <c r="I71" s="15">
        <f>$G$71*SIN($F$71)</f>
        <v/>
      </c>
      <c r="J71" s="16">
        <f>q_p*$I$71</f>
        <v/>
      </c>
      <c r="K71" s="16">
        <f>-q_p*$H$71</f>
        <v/>
      </c>
      <c r="L71" s="16">
        <f>SUM($J$31:$J$71)-0.5*$J$71</f>
        <v/>
      </c>
      <c r="M71" s="16">
        <f>SUM($K$31:$K$71)-0.5*$K$71</f>
        <v/>
      </c>
      <c r="N71" s="16">
        <f>SUMPRODUCT($D$31:$D$71,$K$31:$K$71)-0.5*$D$71*$K$71</f>
        <v/>
      </c>
      <c r="O71" s="16">
        <f>SUMPRODUCT($E$31:$E$71,$J$31:$J$71)-0.5*$E$71*$J$71</f>
        <v/>
      </c>
      <c r="P71" s="16">
        <f>($N$71-$D$71*$M$71)-($O$71-$E$71*$L$71)</f>
        <v/>
      </c>
      <c r="Q71" s="16">
        <f>-$L$71*COS($F$71)-$M$71*SIN($F$71)</f>
        <v/>
      </c>
      <c r="R71" s="15">
        <f>-COS($F$71)</f>
        <v/>
      </c>
      <c r="S71" s="16">
        <f>-$P$71</f>
        <v/>
      </c>
      <c r="T71" s="15">
        <f>f_-$E$71</f>
        <v/>
      </c>
      <c r="U71" s="16">
        <f>$G$71/EI_</f>
        <v/>
      </c>
      <c r="V71" s="16">
        <f>$G$71/EA_</f>
        <v/>
      </c>
      <c r="W71" s="15">
        <f>$Q$71+P_fr*$R$71</f>
        <v/>
      </c>
      <c r="X71" s="15">
        <f>$S$71+P_fr*$T$71-Mc_fr</f>
        <v/>
      </c>
      <c r="Y71" s="15">
        <f>$W$71/h_calc-6*$X$71/h_calc^2</f>
        <v/>
      </c>
      <c r="Z71" s="15">
        <f>$W$71/h_calc+6*$X$71/h_calc^2</f>
        <v/>
      </c>
      <c r="AA71" s="16">
        <f>$T$71*$U$71</f>
        <v/>
      </c>
      <c r="AB71" s="16">
        <f>$S$71*$U$71</f>
        <v/>
      </c>
      <c r="AC71" s="16">
        <f>$T$71^2*$U$71+$R$71^2*$V$71</f>
        <v/>
      </c>
      <c r="AD71" s="16">
        <f>$T$71*$S$71*$U$71+$R$71*$Q$71*$V$71</f>
        <v/>
      </c>
      <c r="AE71" s="16">
        <f>$D$71*$K$71</f>
        <v/>
      </c>
      <c r="AF71" s="16">
        <f>$E$71*$J$71</f>
        <v/>
      </c>
    </row>
    <row r="72">
      <c r="A72" s="15" t="n">
        <v>42</v>
      </c>
      <c r="B72" s="15">
        <f>IF($A$72&lt;=20,1,IF($A$72&lt;=40,2,3))</f>
        <v/>
      </c>
      <c r="C72" s="15">
        <f>($A$72-20*($B$72-1)-0.5)/20*CHOOSE($B$72,R_load*alpha,TL,R_supp*alpha)</f>
        <v/>
      </c>
      <c r="D72" s="15">
        <f>CHOOSE($B$72,R_load*SIN($C$72/R_load),R_load*SIN(alpha)+$C$72*COS(alpha),c_-R_supp*SIN(alpha-$C$72/R_supp))</f>
        <v/>
      </c>
      <c r="E72" s="15">
        <f>CHOOSE($B$72,f_-R_load+R_load*COS($C$72/R_load),f_-R_load*(1-COS(alpha))-$C$72*SIN(alpha),-f_+R_supp-R_supp*COS(alpha-$C$72/R_supp))</f>
        <v/>
      </c>
      <c r="F72" s="15">
        <f>CHOOSE($B$72,-$C$72/R_load,-alpha,-(alpha-$C$72/R_supp))</f>
        <v/>
      </c>
      <c r="G72" s="15">
        <f>CHOOSE($B$72,R_load*alpha,TL,R_supp*alpha)/20</f>
        <v/>
      </c>
      <c r="H72" s="15">
        <f>$G$72*COS($F$72)</f>
        <v/>
      </c>
      <c r="I72" s="15">
        <f>$G$72*SIN($F$72)</f>
        <v/>
      </c>
      <c r="J72" s="16">
        <f>q_p*$I$72</f>
        <v/>
      </c>
      <c r="K72" s="16">
        <f>-q_p*$H$72</f>
        <v/>
      </c>
      <c r="L72" s="16">
        <f>SUM($J$31:$J$72)-0.5*$J$72</f>
        <v/>
      </c>
      <c r="M72" s="16">
        <f>SUM($K$31:$K$72)-0.5*$K$72</f>
        <v/>
      </c>
      <c r="N72" s="16">
        <f>SUMPRODUCT($D$31:$D$72,$K$31:$K$72)-0.5*$D$72*$K$72</f>
        <v/>
      </c>
      <c r="O72" s="16">
        <f>SUMPRODUCT($E$31:$E$72,$J$31:$J$72)-0.5*$E$72*$J$72</f>
        <v/>
      </c>
      <c r="P72" s="16">
        <f>($N$72-$D$72*$M$72)-($O$72-$E$72*$L$72)</f>
        <v/>
      </c>
      <c r="Q72" s="16">
        <f>-$L$72*COS($F$72)-$M$72*SIN($F$72)</f>
        <v/>
      </c>
      <c r="R72" s="15">
        <f>-COS($F$72)</f>
        <v/>
      </c>
      <c r="S72" s="16">
        <f>-$P$72</f>
        <v/>
      </c>
      <c r="T72" s="15">
        <f>f_-$E$72</f>
        <v/>
      </c>
      <c r="U72" s="16">
        <f>$G$72/EI_</f>
        <v/>
      </c>
      <c r="V72" s="16">
        <f>$G$72/EA_</f>
        <v/>
      </c>
      <c r="W72" s="15">
        <f>$Q$72+P_fr*$R$72</f>
        <v/>
      </c>
      <c r="X72" s="15">
        <f>$S$72+P_fr*$T$72-Mc_fr</f>
        <v/>
      </c>
      <c r="Y72" s="15">
        <f>$W$72/h_calc-6*$X$72/h_calc^2</f>
        <v/>
      </c>
      <c r="Z72" s="15">
        <f>$W$72/h_calc+6*$X$72/h_calc^2</f>
        <v/>
      </c>
      <c r="AA72" s="16">
        <f>$T$72*$U$72</f>
        <v/>
      </c>
      <c r="AB72" s="16">
        <f>$S$72*$U$72</f>
        <v/>
      </c>
      <c r="AC72" s="16">
        <f>$T$72^2*$U$72+$R$72^2*$V$72</f>
        <v/>
      </c>
      <c r="AD72" s="16">
        <f>$T$72*$S$72*$U$72+$R$72*$Q$72*$V$72</f>
        <v/>
      </c>
      <c r="AE72" s="16">
        <f>$D$72*$K$72</f>
        <v/>
      </c>
      <c r="AF72" s="16">
        <f>$E$72*$J$72</f>
        <v/>
      </c>
    </row>
    <row r="73">
      <c r="A73" s="15" t="n">
        <v>43</v>
      </c>
      <c r="B73" s="15">
        <f>IF($A$73&lt;=20,1,IF($A$73&lt;=40,2,3))</f>
        <v/>
      </c>
      <c r="C73" s="15">
        <f>($A$73-20*($B$73-1)-0.5)/20*CHOOSE($B$73,R_load*alpha,TL,R_supp*alpha)</f>
        <v/>
      </c>
      <c r="D73" s="15">
        <f>CHOOSE($B$73,R_load*SIN($C$73/R_load),R_load*SIN(alpha)+$C$73*COS(alpha),c_-R_supp*SIN(alpha-$C$73/R_supp))</f>
        <v/>
      </c>
      <c r="E73" s="15">
        <f>CHOOSE($B$73,f_-R_load+R_load*COS($C$73/R_load),f_-R_load*(1-COS(alpha))-$C$73*SIN(alpha),-f_+R_supp-R_supp*COS(alpha-$C$73/R_supp))</f>
        <v/>
      </c>
      <c r="F73" s="15">
        <f>CHOOSE($B$73,-$C$73/R_load,-alpha,-(alpha-$C$73/R_supp))</f>
        <v/>
      </c>
      <c r="G73" s="15">
        <f>CHOOSE($B$73,R_load*alpha,TL,R_supp*alpha)/20</f>
        <v/>
      </c>
      <c r="H73" s="15">
        <f>$G$73*COS($F$73)</f>
        <v/>
      </c>
      <c r="I73" s="15">
        <f>$G$73*SIN($F$73)</f>
        <v/>
      </c>
      <c r="J73" s="16">
        <f>q_p*$I$73</f>
        <v/>
      </c>
      <c r="K73" s="16">
        <f>-q_p*$H$73</f>
        <v/>
      </c>
      <c r="L73" s="16">
        <f>SUM($J$31:$J$73)-0.5*$J$73</f>
        <v/>
      </c>
      <c r="M73" s="16">
        <f>SUM($K$31:$K$73)-0.5*$K$73</f>
        <v/>
      </c>
      <c r="N73" s="16">
        <f>SUMPRODUCT($D$31:$D$73,$K$31:$K$73)-0.5*$D$73*$K$73</f>
        <v/>
      </c>
      <c r="O73" s="16">
        <f>SUMPRODUCT($E$31:$E$73,$J$31:$J$73)-0.5*$E$73*$J$73</f>
        <v/>
      </c>
      <c r="P73" s="16">
        <f>($N$73-$D$73*$M$73)-($O$73-$E$73*$L$73)</f>
        <v/>
      </c>
      <c r="Q73" s="16">
        <f>-$L$73*COS($F$73)-$M$73*SIN($F$73)</f>
        <v/>
      </c>
      <c r="R73" s="15">
        <f>-COS($F$73)</f>
        <v/>
      </c>
      <c r="S73" s="16">
        <f>-$P$73</f>
        <v/>
      </c>
      <c r="T73" s="15">
        <f>f_-$E$73</f>
        <v/>
      </c>
      <c r="U73" s="16">
        <f>$G$73/EI_</f>
        <v/>
      </c>
      <c r="V73" s="16">
        <f>$G$73/EA_</f>
        <v/>
      </c>
      <c r="W73" s="15">
        <f>$Q$73+P_fr*$R$73</f>
        <v/>
      </c>
      <c r="X73" s="15">
        <f>$S$73+P_fr*$T$73-Mc_fr</f>
        <v/>
      </c>
      <c r="Y73" s="15">
        <f>$W$73/h_calc-6*$X$73/h_calc^2</f>
        <v/>
      </c>
      <c r="Z73" s="15">
        <f>$W$73/h_calc+6*$X$73/h_calc^2</f>
        <v/>
      </c>
      <c r="AA73" s="16">
        <f>$T$73*$U$73</f>
        <v/>
      </c>
      <c r="AB73" s="16">
        <f>$S$73*$U$73</f>
        <v/>
      </c>
      <c r="AC73" s="16">
        <f>$T$73^2*$U$73+$R$73^2*$V$73</f>
        <v/>
      </c>
      <c r="AD73" s="16">
        <f>$T$73*$S$73*$U$73+$R$73*$Q$73*$V$73</f>
        <v/>
      </c>
      <c r="AE73" s="16">
        <f>$D$73*$K$73</f>
        <v/>
      </c>
      <c r="AF73" s="16">
        <f>$E$73*$J$73</f>
        <v/>
      </c>
    </row>
    <row r="74">
      <c r="A74" s="15" t="n">
        <v>44</v>
      </c>
      <c r="B74" s="15">
        <f>IF($A$74&lt;=20,1,IF($A$74&lt;=40,2,3))</f>
        <v/>
      </c>
      <c r="C74" s="15">
        <f>($A$74-20*($B$74-1)-0.5)/20*CHOOSE($B$74,R_load*alpha,TL,R_supp*alpha)</f>
        <v/>
      </c>
      <c r="D74" s="15">
        <f>CHOOSE($B$74,R_load*SIN($C$74/R_load),R_load*SIN(alpha)+$C$74*COS(alpha),c_-R_supp*SIN(alpha-$C$74/R_supp))</f>
        <v/>
      </c>
      <c r="E74" s="15">
        <f>CHOOSE($B$74,f_-R_load+R_load*COS($C$74/R_load),f_-R_load*(1-COS(alpha))-$C$74*SIN(alpha),-f_+R_supp-R_supp*COS(alpha-$C$74/R_supp))</f>
        <v/>
      </c>
      <c r="F74" s="15">
        <f>CHOOSE($B$74,-$C$74/R_load,-alpha,-(alpha-$C$74/R_supp))</f>
        <v/>
      </c>
      <c r="G74" s="15">
        <f>CHOOSE($B$74,R_load*alpha,TL,R_supp*alpha)/20</f>
        <v/>
      </c>
      <c r="H74" s="15">
        <f>$G$74*COS($F$74)</f>
        <v/>
      </c>
      <c r="I74" s="15">
        <f>$G$74*SIN($F$74)</f>
        <v/>
      </c>
      <c r="J74" s="16">
        <f>q_p*$I$74</f>
        <v/>
      </c>
      <c r="K74" s="16">
        <f>-q_p*$H$74</f>
        <v/>
      </c>
      <c r="L74" s="16">
        <f>SUM($J$31:$J$74)-0.5*$J$74</f>
        <v/>
      </c>
      <c r="M74" s="16">
        <f>SUM($K$31:$K$74)-0.5*$K$74</f>
        <v/>
      </c>
      <c r="N74" s="16">
        <f>SUMPRODUCT($D$31:$D$74,$K$31:$K$74)-0.5*$D$74*$K$74</f>
        <v/>
      </c>
      <c r="O74" s="16">
        <f>SUMPRODUCT($E$31:$E$74,$J$31:$J$74)-0.5*$E$74*$J$74</f>
        <v/>
      </c>
      <c r="P74" s="16">
        <f>($N$74-$D$74*$M$74)-($O$74-$E$74*$L$74)</f>
        <v/>
      </c>
      <c r="Q74" s="16">
        <f>-$L$74*COS($F$74)-$M$74*SIN($F$74)</f>
        <v/>
      </c>
      <c r="R74" s="15">
        <f>-COS($F$74)</f>
        <v/>
      </c>
      <c r="S74" s="16">
        <f>-$P$74</f>
        <v/>
      </c>
      <c r="T74" s="15">
        <f>f_-$E$74</f>
        <v/>
      </c>
      <c r="U74" s="16">
        <f>$G$74/EI_</f>
        <v/>
      </c>
      <c r="V74" s="16">
        <f>$G$74/EA_</f>
        <v/>
      </c>
      <c r="W74" s="15">
        <f>$Q$74+P_fr*$R$74</f>
        <v/>
      </c>
      <c r="X74" s="15">
        <f>$S$74+P_fr*$T$74-Mc_fr</f>
        <v/>
      </c>
      <c r="Y74" s="15">
        <f>$W$74/h_calc-6*$X$74/h_calc^2</f>
        <v/>
      </c>
      <c r="Z74" s="15">
        <f>$W$74/h_calc+6*$X$74/h_calc^2</f>
        <v/>
      </c>
      <c r="AA74" s="16">
        <f>$T$74*$U$74</f>
        <v/>
      </c>
      <c r="AB74" s="16">
        <f>$S$74*$U$74</f>
        <v/>
      </c>
      <c r="AC74" s="16">
        <f>$T$74^2*$U$74+$R$74^2*$V$74</f>
        <v/>
      </c>
      <c r="AD74" s="16">
        <f>$T$74*$S$74*$U$74+$R$74*$Q$74*$V$74</f>
        <v/>
      </c>
      <c r="AE74" s="16">
        <f>$D$74*$K$74</f>
        <v/>
      </c>
      <c r="AF74" s="16">
        <f>$E$74*$J$74</f>
        <v/>
      </c>
    </row>
    <row r="75">
      <c r="A75" s="15" t="n">
        <v>45</v>
      </c>
      <c r="B75" s="15">
        <f>IF($A$75&lt;=20,1,IF($A$75&lt;=40,2,3))</f>
        <v/>
      </c>
      <c r="C75" s="15">
        <f>($A$75-20*($B$75-1)-0.5)/20*CHOOSE($B$75,R_load*alpha,TL,R_supp*alpha)</f>
        <v/>
      </c>
      <c r="D75" s="15">
        <f>CHOOSE($B$75,R_load*SIN($C$75/R_load),R_load*SIN(alpha)+$C$75*COS(alpha),c_-R_supp*SIN(alpha-$C$75/R_supp))</f>
        <v/>
      </c>
      <c r="E75" s="15">
        <f>CHOOSE($B$75,f_-R_load+R_load*COS($C$75/R_load),f_-R_load*(1-COS(alpha))-$C$75*SIN(alpha),-f_+R_supp-R_supp*COS(alpha-$C$75/R_supp))</f>
        <v/>
      </c>
      <c r="F75" s="15">
        <f>CHOOSE($B$75,-$C$75/R_load,-alpha,-(alpha-$C$75/R_supp))</f>
        <v/>
      </c>
      <c r="G75" s="15">
        <f>CHOOSE($B$75,R_load*alpha,TL,R_supp*alpha)/20</f>
        <v/>
      </c>
      <c r="H75" s="15">
        <f>$G$75*COS($F$75)</f>
        <v/>
      </c>
      <c r="I75" s="15">
        <f>$G$75*SIN($F$75)</f>
        <v/>
      </c>
      <c r="J75" s="16">
        <f>q_p*$I$75</f>
        <v/>
      </c>
      <c r="K75" s="16">
        <f>-q_p*$H$75</f>
        <v/>
      </c>
      <c r="L75" s="16">
        <f>SUM($J$31:$J$75)-0.5*$J$75</f>
        <v/>
      </c>
      <c r="M75" s="16">
        <f>SUM($K$31:$K$75)-0.5*$K$75</f>
        <v/>
      </c>
      <c r="N75" s="16">
        <f>SUMPRODUCT($D$31:$D$75,$K$31:$K$75)-0.5*$D$75*$K$75</f>
        <v/>
      </c>
      <c r="O75" s="16">
        <f>SUMPRODUCT($E$31:$E$75,$J$31:$J$75)-0.5*$E$75*$J$75</f>
        <v/>
      </c>
      <c r="P75" s="16">
        <f>($N$75-$D$75*$M$75)-($O$75-$E$75*$L$75)</f>
        <v/>
      </c>
      <c r="Q75" s="16">
        <f>-$L$75*COS($F$75)-$M$75*SIN($F$75)</f>
        <v/>
      </c>
      <c r="R75" s="15">
        <f>-COS($F$75)</f>
        <v/>
      </c>
      <c r="S75" s="16">
        <f>-$P$75</f>
        <v/>
      </c>
      <c r="T75" s="15">
        <f>f_-$E$75</f>
        <v/>
      </c>
      <c r="U75" s="16">
        <f>$G$75/EI_</f>
        <v/>
      </c>
      <c r="V75" s="16">
        <f>$G$75/EA_</f>
        <v/>
      </c>
      <c r="W75" s="15">
        <f>$Q$75+P_fr*$R$75</f>
        <v/>
      </c>
      <c r="X75" s="15">
        <f>$S$75+P_fr*$T$75-Mc_fr</f>
        <v/>
      </c>
      <c r="Y75" s="15">
        <f>$W$75/h_calc-6*$X$75/h_calc^2</f>
        <v/>
      </c>
      <c r="Z75" s="15">
        <f>$W$75/h_calc+6*$X$75/h_calc^2</f>
        <v/>
      </c>
      <c r="AA75" s="16">
        <f>$T$75*$U$75</f>
        <v/>
      </c>
      <c r="AB75" s="16">
        <f>$S$75*$U$75</f>
        <v/>
      </c>
      <c r="AC75" s="16">
        <f>$T$75^2*$U$75+$R$75^2*$V$75</f>
        <v/>
      </c>
      <c r="AD75" s="16">
        <f>$T$75*$S$75*$U$75+$R$75*$Q$75*$V$75</f>
        <v/>
      </c>
      <c r="AE75" s="16">
        <f>$D$75*$K$75</f>
        <v/>
      </c>
      <c r="AF75" s="16">
        <f>$E$75*$J$75</f>
        <v/>
      </c>
    </row>
    <row r="76">
      <c r="A76" s="15" t="n">
        <v>46</v>
      </c>
      <c r="B76" s="15">
        <f>IF($A$76&lt;=20,1,IF($A$76&lt;=40,2,3))</f>
        <v/>
      </c>
      <c r="C76" s="15">
        <f>($A$76-20*($B$76-1)-0.5)/20*CHOOSE($B$76,R_load*alpha,TL,R_supp*alpha)</f>
        <v/>
      </c>
      <c r="D76" s="15">
        <f>CHOOSE($B$76,R_load*SIN($C$76/R_load),R_load*SIN(alpha)+$C$76*COS(alpha),c_-R_supp*SIN(alpha-$C$76/R_supp))</f>
        <v/>
      </c>
      <c r="E76" s="15">
        <f>CHOOSE($B$76,f_-R_load+R_load*COS($C$76/R_load),f_-R_load*(1-COS(alpha))-$C$76*SIN(alpha),-f_+R_supp-R_supp*COS(alpha-$C$76/R_supp))</f>
        <v/>
      </c>
      <c r="F76" s="15">
        <f>CHOOSE($B$76,-$C$76/R_load,-alpha,-(alpha-$C$76/R_supp))</f>
        <v/>
      </c>
      <c r="G76" s="15">
        <f>CHOOSE($B$76,R_load*alpha,TL,R_supp*alpha)/20</f>
        <v/>
      </c>
      <c r="H76" s="15">
        <f>$G$76*COS($F$76)</f>
        <v/>
      </c>
      <c r="I76" s="15">
        <f>$G$76*SIN($F$76)</f>
        <v/>
      </c>
      <c r="J76" s="16">
        <f>q_p*$I$76</f>
        <v/>
      </c>
      <c r="K76" s="16">
        <f>-q_p*$H$76</f>
        <v/>
      </c>
      <c r="L76" s="16">
        <f>SUM($J$31:$J$76)-0.5*$J$76</f>
        <v/>
      </c>
      <c r="M76" s="16">
        <f>SUM($K$31:$K$76)-0.5*$K$76</f>
        <v/>
      </c>
      <c r="N76" s="16">
        <f>SUMPRODUCT($D$31:$D$76,$K$31:$K$76)-0.5*$D$76*$K$76</f>
        <v/>
      </c>
      <c r="O76" s="16">
        <f>SUMPRODUCT($E$31:$E$76,$J$31:$J$76)-0.5*$E$76*$J$76</f>
        <v/>
      </c>
      <c r="P76" s="16">
        <f>($N$76-$D$76*$M$76)-($O$76-$E$76*$L$76)</f>
        <v/>
      </c>
      <c r="Q76" s="16">
        <f>-$L$76*COS($F$76)-$M$76*SIN($F$76)</f>
        <v/>
      </c>
      <c r="R76" s="15">
        <f>-COS($F$76)</f>
        <v/>
      </c>
      <c r="S76" s="16">
        <f>-$P$76</f>
        <v/>
      </c>
      <c r="T76" s="15">
        <f>f_-$E$76</f>
        <v/>
      </c>
      <c r="U76" s="16">
        <f>$G$76/EI_</f>
        <v/>
      </c>
      <c r="V76" s="16">
        <f>$G$76/EA_</f>
        <v/>
      </c>
      <c r="W76" s="15">
        <f>$Q$76+P_fr*$R$76</f>
        <v/>
      </c>
      <c r="X76" s="15">
        <f>$S$76+P_fr*$T$76-Mc_fr</f>
        <v/>
      </c>
      <c r="Y76" s="15">
        <f>$W$76/h_calc-6*$X$76/h_calc^2</f>
        <v/>
      </c>
      <c r="Z76" s="15">
        <f>$W$76/h_calc+6*$X$76/h_calc^2</f>
        <v/>
      </c>
      <c r="AA76" s="16">
        <f>$T$76*$U$76</f>
        <v/>
      </c>
      <c r="AB76" s="16">
        <f>$S$76*$U$76</f>
        <v/>
      </c>
      <c r="AC76" s="16">
        <f>$T$76^2*$U$76+$R$76^2*$V$76</f>
        <v/>
      </c>
      <c r="AD76" s="16">
        <f>$T$76*$S$76*$U$76+$R$76*$Q$76*$V$76</f>
        <v/>
      </c>
      <c r="AE76" s="16">
        <f>$D$76*$K$76</f>
        <v/>
      </c>
      <c r="AF76" s="16">
        <f>$E$76*$J$76</f>
        <v/>
      </c>
    </row>
    <row r="77">
      <c r="A77" s="15" t="n">
        <v>47</v>
      </c>
      <c r="B77" s="15">
        <f>IF($A$77&lt;=20,1,IF($A$77&lt;=40,2,3))</f>
        <v/>
      </c>
      <c r="C77" s="15">
        <f>($A$77-20*($B$77-1)-0.5)/20*CHOOSE($B$77,R_load*alpha,TL,R_supp*alpha)</f>
        <v/>
      </c>
      <c r="D77" s="15">
        <f>CHOOSE($B$77,R_load*SIN($C$77/R_load),R_load*SIN(alpha)+$C$77*COS(alpha),c_-R_supp*SIN(alpha-$C$77/R_supp))</f>
        <v/>
      </c>
      <c r="E77" s="15">
        <f>CHOOSE($B$77,f_-R_load+R_load*COS($C$77/R_load),f_-R_load*(1-COS(alpha))-$C$77*SIN(alpha),-f_+R_supp-R_supp*COS(alpha-$C$77/R_supp))</f>
        <v/>
      </c>
      <c r="F77" s="15">
        <f>CHOOSE($B$77,-$C$77/R_load,-alpha,-(alpha-$C$77/R_supp))</f>
        <v/>
      </c>
      <c r="G77" s="15">
        <f>CHOOSE($B$77,R_load*alpha,TL,R_supp*alpha)/20</f>
        <v/>
      </c>
      <c r="H77" s="15">
        <f>$G$77*COS($F$77)</f>
        <v/>
      </c>
      <c r="I77" s="15">
        <f>$G$77*SIN($F$77)</f>
        <v/>
      </c>
      <c r="J77" s="16">
        <f>q_p*$I$77</f>
        <v/>
      </c>
      <c r="K77" s="16">
        <f>-q_p*$H$77</f>
        <v/>
      </c>
      <c r="L77" s="16">
        <f>SUM($J$31:$J$77)-0.5*$J$77</f>
        <v/>
      </c>
      <c r="M77" s="16">
        <f>SUM($K$31:$K$77)-0.5*$K$77</f>
        <v/>
      </c>
      <c r="N77" s="16">
        <f>SUMPRODUCT($D$31:$D$77,$K$31:$K$77)-0.5*$D$77*$K$77</f>
        <v/>
      </c>
      <c r="O77" s="16">
        <f>SUMPRODUCT($E$31:$E$77,$J$31:$J$77)-0.5*$E$77*$J$77</f>
        <v/>
      </c>
      <c r="P77" s="16">
        <f>($N$77-$D$77*$M$77)-($O$77-$E$77*$L$77)</f>
        <v/>
      </c>
      <c r="Q77" s="16">
        <f>-$L$77*COS($F$77)-$M$77*SIN($F$77)</f>
        <v/>
      </c>
      <c r="R77" s="15">
        <f>-COS($F$77)</f>
        <v/>
      </c>
      <c r="S77" s="16">
        <f>-$P$77</f>
        <v/>
      </c>
      <c r="T77" s="15">
        <f>f_-$E$77</f>
        <v/>
      </c>
      <c r="U77" s="16">
        <f>$G$77/EI_</f>
        <v/>
      </c>
      <c r="V77" s="16">
        <f>$G$77/EA_</f>
        <v/>
      </c>
      <c r="W77" s="15">
        <f>$Q$77+P_fr*$R$77</f>
        <v/>
      </c>
      <c r="X77" s="15">
        <f>$S$77+P_fr*$T$77-Mc_fr</f>
        <v/>
      </c>
      <c r="Y77" s="15">
        <f>$W$77/h_calc-6*$X$77/h_calc^2</f>
        <v/>
      </c>
      <c r="Z77" s="15">
        <f>$W$77/h_calc+6*$X$77/h_calc^2</f>
        <v/>
      </c>
      <c r="AA77" s="16">
        <f>$T$77*$U$77</f>
        <v/>
      </c>
      <c r="AB77" s="16">
        <f>$S$77*$U$77</f>
        <v/>
      </c>
      <c r="AC77" s="16">
        <f>$T$77^2*$U$77+$R$77^2*$V$77</f>
        <v/>
      </c>
      <c r="AD77" s="16">
        <f>$T$77*$S$77*$U$77+$R$77*$Q$77*$V$77</f>
        <v/>
      </c>
      <c r="AE77" s="16">
        <f>$D$77*$K$77</f>
        <v/>
      </c>
      <c r="AF77" s="16">
        <f>$E$77*$J$77</f>
        <v/>
      </c>
    </row>
    <row r="78">
      <c r="A78" s="15" t="n">
        <v>48</v>
      </c>
      <c r="B78" s="15">
        <f>IF($A$78&lt;=20,1,IF($A$78&lt;=40,2,3))</f>
        <v/>
      </c>
      <c r="C78" s="15">
        <f>($A$78-20*($B$78-1)-0.5)/20*CHOOSE($B$78,R_load*alpha,TL,R_supp*alpha)</f>
        <v/>
      </c>
      <c r="D78" s="15">
        <f>CHOOSE($B$78,R_load*SIN($C$78/R_load),R_load*SIN(alpha)+$C$78*COS(alpha),c_-R_supp*SIN(alpha-$C$78/R_supp))</f>
        <v/>
      </c>
      <c r="E78" s="15">
        <f>CHOOSE($B$78,f_-R_load+R_load*COS($C$78/R_load),f_-R_load*(1-COS(alpha))-$C$78*SIN(alpha),-f_+R_supp-R_supp*COS(alpha-$C$78/R_supp))</f>
        <v/>
      </c>
      <c r="F78" s="15">
        <f>CHOOSE($B$78,-$C$78/R_load,-alpha,-(alpha-$C$78/R_supp))</f>
        <v/>
      </c>
      <c r="G78" s="15">
        <f>CHOOSE($B$78,R_load*alpha,TL,R_supp*alpha)/20</f>
        <v/>
      </c>
      <c r="H78" s="15">
        <f>$G$78*COS($F$78)</f>
        <v/>
      </c>
      <c r="I78" s="15">
        <f>$G$78*SIN($F$78)</f>
        <v/>
      </c>
      <c r="J78" s="16">
        <f>q_p*$I$78</f>
        <v/>
      </c>
      <c r="K78" s="16">
        <f>-q_p*$H$78</f>
        <v/>
      </c>
      <c r="L78" s="16">
        <f>SUM($J$31:$J$78)-0.5*$J$78</f>
        <v/>
      </c>
      <c r="M78" s="16">
        <f>SUM($K$31:$K$78)-0.5*$K$78</f>
        <v/>
      </c>
      <c r="N78" s="16">
        <f>SUMPRODUCT($D$31:$D$78,$K$31:$K$78)-0.5*$D$78*$K$78</f>
        <v/>
      </c>
      <c r="O78" s="16">
        <f>SUMPRODUCT($E$31:$E$78,$J$31:$J$78)-0.5*$E$78*$J$78</f>
        <v/>
      </c>
      <c r="P78" s="16">
        <f>($N$78-$D$78*$M$78)-($O$78-$E$78*$L$78)</f>
        <v/>
      </c>
      <c r="Q78" s="16">
        <f>-$L$78*COS($F$78)-$M$78*SIN($F$78)</f>
        <v/>
      </c>
      <c r="R78" s="15">
        <f>-COS($F$78)</f>
        <v/>
      </c>
      <c r="S78" s="16">
        <f>-$P$78</f>
        <v/>
      </c>
      <c r="T78" s="15">
        <f>f_-$E$78</f>
        <v/>
      </c>
      <c r="U78" s="16">
        <f>$G$78/EI_</f>
        <v/>
      </c>
      <c r="V78" s="16">
        <f>$G$78/EA_</f>
        <v/>
      </c>
      <c r="W78" s="15">
        <f>$Q$78+P_fr*$R$78</f>
        <v/>
      </c>
      <c r="X78" s="15">
        <f>$S$78+P_fr*$T$78-Mc_fr</f>
        <v/>
      </c>
      <c r="Y78" s="15">
        <f>$W$78/h_calc-6*$X$78/h_calc^2</f>
        <v/>
      </c>
      <c r="Z78" s="15">
        <f>$W$78/h_calc+6*$X$78/h_calc^2</f>
        <v/>
      </c>
      <c r="AA78" s="16">
        <f>$T$78*$U$78</f>
        <v/>
      </c>
      <c r="AB78" s="16">
        <f>$S$78*$U$78</f>
        <v/>
      </c>
      <c r="AC78" s="16">
        <f>$T$78^2*$U$78+$R$78^2*$V$78</f>
        <v/>
      </c>
      <c r="AD78" s="16">
        <f>$T$78*$S$78*$U$78+$R$78*$Q$78*$V$78</f>
        <v/>
      </c>
      <c r="AE78" s="16">
        <f>$D$78*$K$78</f>
        <v/>
      </c>
      <c r="AF78" s="16">
        <f>$E$78*$J$78</f>
        <v/>
      </c>
    </row>
    <row r="79">
      <c r="A79" s="15" t="n">
        <v>49</v>
      </c>
      <c r="B79" s="15">
        <f>IF($A$79&lt;=20,1,IF($A$79&lt;=40,2,3))</f>
        <v/>
      </c>
      <c r="C79" s="15">
        <f>($A$79-20*($B$79-1)-0.5)/20*CHOOSE($B$79,R_load*alpha,TL,R_supp*alpha)</f>
        <v/>
      </c>
      <c r="D79" s="15">
        <f>CHOOSE($B$79,R_load*SIN($C$79/R_load),R_load*SIN(alpha)+$C$79*COS(alpha),c_-R_supp*SIN(alpha-$C$79/R_supp))</f>
        <v/>
      </c>
      <c r="E79" s="15">
        <f>CHOOSE($B$79,f_-R_load+R_load*COS($C$79/R_load),f_-R_load*(1-COS(alpha))-$C$79*SIN(alpha),-f_+R_supp-R_supp*COS(alpha-$C$79/R_supp))</f>
        <v/>
      </c>
      <c r="F79" s="15">
        <f>CHOOSE($B$79,-$C$79/R_load,-alpha,-(alpha-$C$79/R_supp))</f>
        <v/>
      </c>
      <c r="G79" s="15">
        <f>CHOOSE($B$79,R_load*alpha,TL,R_supp*alpha)/20</f>
        <v/>
      </c>
      <c r="H79" s="15">
        <f>$G$79*COS($F$79)</f>
        <v/>
      </c>
      <c r="I79" s="15">
        <f>$G$79*SIN($F$79)</f>
        <v/>
      </c>
      <c r="J79" s="16">
        <f>q_p*$I$79</f>
        <v/>
      </c>
      <c r="K79" s="16">
        <f>-q_p*$H$79</f>
        <v/>
      </c>
      <c r="L79" s="16">
        <f>SUM($J$31:$J$79)-0.5*$J$79</f>
        <v/>
      </c>
      <c r="M79" s="16">
        <f>SUM($K$31:$K$79)-0.5*$K$79</f>
        <v/>
      </c>
      <c r="N79" s="16">
        <f>SUMPRODUCT($D$31:$D$79,$K$31:$K$79)-0.5*$D$79*$K$79</f>
        <v/>
      </c>
      <c r="O79" s="16">
        <f>SUMPRODUCT($E$31:$E$79,$J$31:$J$79)-0.5*$E$79*$J$79</f>
        <v/>
      </c>
      <c r="P79" s="16">
        <f>($N$79-$D$79*$M$79)-($O$79-$E$79*$L$79)</f>
        <v/>
      </c>
      <c r="Q79" s="16">
        <f>-$L$79*COS($F$79)-$M$79*SIN($F$79)</f>
        <v/>
      </c>
      <c r="R79" s="15">
        <f>-COS($F$79)</f>
        <v/>
      </c>
      <c r="S79" s="16">
        <f>-$P$79</f>
        <v/>
      </c>
      <c r="T79" s="15">
        <f>f_-$E$79</f>
        <v/>
      </c>
      <c r="U79" s="16">
        <f>$G$79/EI_</f>
        <v/>
      </c>
      <c r="V79" s="16">
        <f>$G$79/EA_</f>
        <v/>
      </c>
      <c r="W79" s="15">
        <f>$Q$79+P_fr*$R$79</f>
        <v/>
      </c>
      <c r="X79" s="15">
        <f>$S$79+P_fr*$T$79-Mc_fr</f>
        <v/>
      </c>
      <c r="Y79" s="15">
        <f>$W$79/h_calc-6*$X$79/h_calc^2</f>
        <v/>
      </c>
      <c r="Z79" s="15">
        <f>$W$79/h_calc+6*$X$79/h_calc^2</f>
        <v/>
      </c>
      <c r="AA79" s="16">
        <f>$T$79*$U$79</f>
        <v/>
      </c>
      <c r="AB79" s="16">
        <f>$S$79*$U$79</f>
        <v/>
      </c>
      <c r="AC79" s="16">
        <f>$T$79^2*$U$79+$R$79^2*$V$79</f>
        <v/>
      </c>
      <c r="AD79" s="16">
        <f>$T$79*$S$79*$U$79+$R$79*$Q$79*$V$79</f>
        <v/>
      </c>
      <c r="AE79" s="16">
        <f>$D$79*$K$79</f>
        <v/>
      </c>
      <c r="AF79" s="16">
        <f>$E$79*$J$79</f>
        <v/>
      </c>
    </row>
    <row r="80">
      <c r="A80" s="15" t="n">
        <v>50</v>
      </c>
      <c r="B80" s="15">
        <f>IF($A$80&lt;=20,1,IF($A$80&lt;=40,2,3))</f>
        <v/>
      </c>
      <c r="C80" s="15">
        <f>($A$80-20*($B$80-1)-0.5)/20*CHOOSE($B$80,R_load*alpha,TL,R_supp*alpha)</f>
        <v/>
      </c>
      <c r="D80" s="15">
        <f>CHOOSE($B$80,R_load*SIN($C$80/R_load),R_load*SIN(alpha)+$C$80*COS(alpha),c_-R_supp*SIN(alpha-$C$80/R_supp))</f>
        <v/>
      </c>
      <c r="E80" s="15">
        <f>CHOOSE($B$80,f_-R_load+R_load*COS($C$80/R_load),f_-R_load*(1-COS(alpha))-$C$80*SIN(alpha),-f_+R_supp-R_supp*COS(alpha-$C$80/R_supp))</f>
        <v/>
      </c>
      <c r="F80" s="15">
        <f>CHOOSE($B$80,-$C$80/R_load,-alpha,-(alpha-$C$80/R_supp))</f>
        <v/>
      </c>
      <c r="G80" s="15">
        <f>CHOOSE($B$80,R_load*alpha,TL,R_supp*alpha)/20</f>
        <v/>
      </c>
      <c r="H80" s="15">
        <f>$G$80*COS($F$80)</f>
        <v/>
      </c>
      <c r="I80" s="15">
        <f>$G$80*SIN($F$80)</f>
        <v/>
      </c>
      <c r="J80" s="16">
        <f>q_p*$I$80</f>
        <v/>
      </c>
      <c r="K80" s="16">
        <f>-q_p*$H$80</f>
        <v/>
      </c>
      <c r="L80" s="16">
        <f>SUM($J$31:$J$80)-0.5*$J$80</f>
        <v/>
      </c>
      <c r="M80" s="16">
        <f>SUM($K$31:$K$80)-0.5*$K$80</f>
        <v/>
      </c>
      <c r="N80" s="16">
        <f>SUMPRODUCT($D$31:$D$80,$K$31:$K$80)-0.5*$D$80*$K$80</f>
        <v/>
      </c>
      <c r="O80" s="16">
        <f>SUMPRODUCT($E$31:$E$80,$J$31:$J$80)-0.5*$E$80*$J$80</f>
        <v/>
      </c>
      <c r="P80" s="16">
        <f>($N$80-$D$80*$M$80)-($O$80-$E$80*$L$80)</f>
        <v/>
      </c>
      <c r="Q80" s="16">
        <f>-$L$80*COS($F$80)-$M$80*SIN($F$80)</f>
        <v/>
      </c>
      <c r="R80" s="15">
        <f>-COS($F$80)</f>
        <v/>
      </c>
      <c r="S80" s="16">
        <f>-$P$80</f>
        <v/>
      </c>
      <c r="T80" s="15">
        <f>f_-$E$80</f>
        <v/>
      </c>
      <c r="U80" s="16">
        <f>$G$80/EI_</f>
        <v/>
      </c>
      <c r="V80" s="16">
        <f>$G$80/EA_</f>
        <v/>
      </c>
      <c r="W80" s="15">
        <f>$Q$80+P_fr*$R$80</f>
        <v/>
      </c>
      <c r="X80" s="15">
        <f>$S$80+P_fr*$T$80-Mc_fr</f>
        <v/>
      </c>
      <c r="Y80" s="15">
        <f>$W$80/h_calc-6*$X$80/h_calc^2</f>
        <v/>
      </c>
      <c r="Z80" s="15">
        <f>$W$80/h_calc+6*$X$80/h_calc^2</f>
        <v/>
      </c>
      <c r="AA80" s="16">
        <f>$T$80*$U$80</f>
        <v/>
      </c>
      <c r="AB80" s="16">
        <f>$S$80*$U$80</f>
        <v/>
      </c>
      <c r="AC80" s="16">
        <f>$T$80^2*$U$80+$R$80^2*$V$80</f>
        <v/>
      </c>
      <c r="AD80" s="16">
        <f>$T$80*$S$80*$U$80+$R$80*$Q$80*$V$80</f>
        <v/>
      </c>
      <c r="AE80" s="16">
        <f>$D$80*$K$80</f>
        <v/>
      </c>
      <c r="AF80" s="16">
        <f>$E$80*$J$80</f>
        <v/>
      </c>
    </row>
    <row r="81">
      <c r="A81" s="15" t="n">
        <v>51</v>
      </c>
      <c r="B81" s="15">
        <f>IF($A$81&lt;=20,1,IF($A$81&lt;=40,2,3))</f>
        <v/>
      </c>
      <c r="C81" s="15">
        <f>($A$81-20*($B$81-1)-0.5)/20*CHOOSE($B$81,R_load*alpha,TL,R_supp*alpha)</f>
        <v/>
      </c>
      <c r="D81" s="15">
        <f>CHOOSE($B$81,R_load*SIN($C$81/R_load),R_load*SIN(alpha)+$C$81*COS(alpha),c_-R_supp*SIN(alpha-$C$81/R_supp))</f>
        <v/>
      </c>
      <c r="E81" s="15">
        <f>CHOOSE($B$81,f_-R_load+R_load*COS($C$81/R_load),f_-R_load*(1-COS(alpha))-$C$81*SIN(alpha),-f_+R_supp-R_supp*COS(alpha-$C$81/R_supp))</f>
        <v/>
      </c>
      <c r="F81" s="15">
        <f>CHOOSE($B$81,-$C$81/R_load,-alpha,-(alpha-$C$81/R_supp))</f>
        <v/>
      </c>
      <c r="G81" s="15">
        <f>CHOOSE($B$81,R_load*alpha,TL,R_supp*alpha)/20</f>
        <v/>
      </c>
      <c r="H81" s="15">
        <f>$G$81*COS($F$81)</f>
        <v/>
      </c>
      <c r="I81" s="15">
        <f>$G$81*SIN($F$81)</f>
        <v/>
      </c>
      <c r="J81" s="16">
        <f>q_p*$I$81</f>
        <v/>
      </c>
      <c r="K81" s="16">
        <f>-q_p*$H$81</f>
        <v/>
      </c>
      <c r="L81" s="16">
        <f>SUM($J$31:$J$81)-0.5*$J$81</f>
        <v/>
      </c>
      <c r="M81" s="16">
        <f>SUM($K$31:$K$81)-0.5*$K$81</f>
        <v/>
      </c>
      <c r="N81" s="16">
        <f>SUMPRODUCT($D$31:$D$81,$K$31:$K$81)-0.5*$D$81*$K$81</f>
        <v/>
      </c>
      <c r="O81" s="16">
        <f>SUMPRODUCT($E$31:$E$81,$J$31:$J$81)-0.5*$E$81*$J$81</f>
        <v/>
      </c>
      <c r="P81" s="16">
        <f>($N$81-$D$81*$M$81)-($O$81-$E$81*$L$81)</f>
        <v/>
      </c>
      <c r="Q81" s="16">
        <f>-$L$81*COS($F$81)-$M$81*SIN($F$81)</f>
        <v/>
      </c>
      <c r="R81" s="15">
        <f>-COS($F$81)</f>
        <v/>
      </c>
      <c r="S81" s="16">
        <f>-$P$81</f>
        <v/>
      </c>
      <c r="T81" s="15">
        <f>f_-$E$81</f>
        <v/>
      </c>
      <c r="U81" s="16">
        <f>$G$81/EI_</f>
        <v/>
      </c>
      <c r="V81" s="16">
        <f>$G$81/EA_</f>
        <v/>
      </c>
      <c r="W81" s="15">
        <f>$Q$81+P_fr*$R$81</f>
        <v/>
      </c>
      <c r="X81" s="15">
        <f>$S$81+P_fr*$T$81-Mc_fr</f>
        <v/>
      </c>
      <c r="Y81" s="15">
        <f>$W$81/h_calc-6*$X$81/h_calc^2</f>
        <v/>
      </c>
      <c r="Z81" s="15">
        <f>$W$81/h_calc+6*$X$81/h_calc^2</f>
        <v/>
      </c>
      <c r="AA81" s="16">
        <f>$T$81*$U$81</f>
        <v/>
      </c>
      <c r="AB81" s="16">
        <f>$S$81*$U$81</f>
        <v/>
      </c>
      <c r="AC81" s="16">
        <f>$T$81^2*$U$81+$R$81^2*$V$81</f>
        <v/>
      </c>
      <c r="AD81" s="16">
        <f>$T$81*$S$81*$U$81+$R$81*$Q$81*$V$81</f>
        <v/>
      </c>
      <c r="AE81" s="16">
        <f>$D$81*$K$81</f>
        <v/>
      </c>
      <c r="AF81" s="16">
        <f>$E$81*$J$81</f>
        <v/>
      </c>
    </row>
    <row r="82">
      <c r="A82" s="15" t="n">
        <v>52</v>
      </c>
      <c r="B82" s="15">
        <f>IF($A$82&lt;=20,1,IF($A$82&lt;=40,2,3))</f>
        <v/>
      </c>
      <c r="C82" s="15">
        <f>($A$82-20*($B$82-1)-0.5)/20*CHOOSE($B$82,R_load*alpha,TL,R_supp*alpha)</f>
        <v/>
      </c>
      <c r="D82" s="15">
        <f>CHOOSE($B$82,R_load*SIN($C$82/R_load),R_load*SIN(alpha)+$C$82*COS(alpha),c_-R_supp*SIN(alpha-$C$82/R_supp))</f>
        <v/>
      </c>
      <c r="E82" s="15">
        <f>CHOOSE($B$82,f_-R_load+R_load*COS($C$82/R_load),f_-R_load*(1-COS(alpha))-$C$82*SIN(alpha),-f_+R_supp-R_supp*COS(alpha-$C$82/R_supp))</f>
        <v/>
      </c>
      <c r="F82" s="15">
        <f>CHOOSE($B$82,-$C$82/R_load,-alpha,-(alpha-$C$82/R_supp))</f>
        <v/>
      </c>
      <c r="G82" s="15">
        <f>CHOOSE($B$82,R_load*alpha,TL,R_supp*alpha)/20</f>
        <v/>
      </c>
      <c r="H82" s="15">
        <f>$G$82*COS($F$82)</f>
        <v/>
      </c>
      <c r="I82" s="15">
        <f>$G$82*SIN($F$82)</f>
        <v/>
      </c>
      <c r="J82" s="16">
        <f>q_p*$I$82</f>
        <v/>
      </c>
      <c r="K82" s="16">
        <f>-q_p*$H$82</f>
        <v/>
      </c>
      <c r="L82" s="16">
        <f>SUM($J$31:$J$82)-0.5*$J$82</f>
        <v/>
      </c>
      <c r="M82" s="16">
        <f>SUM($K$31:$K$82)-0.5*$K$82</f>
        <v/>
      </c>
      <c r="N82" s="16">
        <f>SUMPRODUCT($D$31:$D$82,$K$31:$K$82)-0.5*$D$82*$K$82</f>
        <v/>
      </c>
      <c r="O82" s="16">
        <f>SUMPRODUCT($E$31:$E$82,$J$31:$J$82)-0.5*$E$82*$J$82</f>
        <v/>
      </c>
      <c r="P82" s="16">
        <f>($N$82-$D$82*$M$82)-($O$82-$E$82*$L$82)</f>
        <v/>
      </c>
      <c r="Q82" s="16">
        <f>-$L$82*COS($F$82)-$M$82*SIN($F$82)</f>
        <v/>
      </c>
      <c r="R82" s="15">
        <f>-COS($F$82)</f>
        <v/>
      </c>
      <c r="S82" s="16">
        <f>-$P$82</f>
        <v/>
      </c>
      <c r="T82" s="15">
        <f>f_-$E$82</f>
        <v/>
      </c>
      <c r="U82" s="16">
        <f>$G$82/EI_</f>
        <v/>
      </c>
      <c r="V82" s="16">
        <f>$G$82/EA_</f>
        <v/>
      </c>
      <c r="W82" s="15">
        <f>$Q$82+P_fr*$R$82</f>
        <v/>
      </c>
      <c r="X82" s="15">
        <f>$S$82+P_fr*$T$82-Mc_fr</f>
        <v/>
      </c>
      <c r="Y82" s="15">
        <f>$W$82/h_calc-6*$X$82/h_calc^2</f>
        <v/>
      </c>
      <c r="Z82" s="15">
        <f>$W$82/h_calc+6*$X$82/h_calc^2</f>
        <v/>
      </c>
      <c r="AA82" s="16">
        <f>$T$82*$U$82</f>
        <v/>
      </c>
      <c r="AB82" s="16">
        <f>$S$82*$U$82</f>
        <v/>
      </c>
      <c r="AC82" s="16">
        <f>$T$82^2*$U$82+$R$82^2*$V$82</f>
        <v/>
      </c>
      <c r="AD82" s="16">
        <f>$T$82*$S$82*$U$82+$R$82*$Q$82*$V$82</f>
        <v/>
      </c>
      <c r="AE82" s="16">
        <f>$D$82*$K$82</f>
        <v/>
      </c>
      <c r="AF82" s="16">
        <f>$E$82*$J$82</f>
        <v/>
      </c>
    </row>
    <row r="83">
      <c r="A83" s="15" t="n">
        <v>53</v>
      </c>
      <c r="B83" s="15">
        <f>IF($A$83&lt;=20,1,IF($A$83&lt;=40,2,3))</f>
        <v/>
      </c>
      <c r="C83" s="15">
        <f>($A$83-20*($B$83-1)-0.5)/20*CHOOSE($B$83,R_load*alpha,TL,R_supp*alpha)</f>
        <v/>
      </c>
      <c r="D83" s="15">
        <f>CHOOSE($B$83,R_load*SIN($C$83/R_load),R_load*SIN(alpha)+$C$83*COS(alpha),c_-R_supp*SIN(alpha-$C$83/R_supp))</f>
        <v/>
      </c>
      <c r="E83" s="15">
        <f>CHOOSE($B$83,f_-R_load+R_load*COS($C$83/R_load),f_-R_load*(1-COS(alpha))-$C$83*SIN(alpha),-f_+R_supp-R_supp*COS(alpha-$C$83/R_supp))</f>
        <v/>
      </c>
      <c r="F83" s="15">
        <f>CHOOSE($B$83,-$C$83/R_load,-alpha,-(alpha-$C$83/R_supp))</f>
        <v/>
      </c>
      <c r="G83" s="15">
        <f>CHOOSE($B$83,R_load*alpha,TL,R_supp*alpha)/20</f>
        <v/>
      </c>
      <c r="H83" s="15">
        <f>$G$83*COS($F$83)</f>
        <v/>
      </c>
      <c r="I83" s="15">
        <f>$G$83*SIN($F$83)</f>
        <v/>
      </c>
      <c r="J83" s="16">
        <f>q_p*$I$83</f>
        <v/>
      </c>
      <c r="K83" s="16">
        <f>-q_p*$H$83</f>
        <v/>
      </c>
      <c r="L83" s="16">
        <f>SUM($J$31:$J$83)-0.5*$J$83</f>
        <v/>
      </c>
      <c r="M83" s="16">
        <f>SUM($K$31:$K$83)-0.5*$K$83</f>
        <v/>
      </c>
      <c r="N83" s="16">
        <f>SUMPRODUCT($D$31:$D$83,$K$31:$K$83)-0.5*$D$83*$K$83</f>
        <v/>
      </c>
      <c r="O83" s="16">
        <f>SUMPRODUCT($E$31:$E$83,$J$31:$J$83)-0.5*$E$83*$J$83</f>
        <v/>
      </c>
      <c r="P83" s="16">
        <f>($N$83-$D$83*$M$83)-($O$83-$E$83*$L$83)</f>
        <v/>
      </c>
      <c r="Q83" s="16">
        <f>-$L$83*COS($F$83)-$M$83*SIN($F$83)</f>
        <v/>
      </c>
      <c r="R83" s="15">
        <f>-COS($F$83)</f>
        <v/>
      </c>
      <c r="S83" s="16">
        <f>-$P$83</f>
        <v/>
      </c>
      <c r="T83" s="15">
        <f>f_-$E$83</f>
        <v/>
      </c>
      <c r="U83" s="16">
        <f>$G$83/EI_</f>
        <v/>
      </c>
      <c r="V83" s="16">
        <f>$G$83/EA_</f>
        <v/>
      </c>
      <c r="W83" s="15">
        <f>$Q$83+P_fr*$R$83</f>
        <v/>
      </c>
      <c r="X83" s="15">
        <f>$S$83+P_fr*$T$83-Mc_fr</f>
        <v/>
      </c>
      <c r="Y83" s="15">
        <f>$W$83/h_calc-6*$X$83/h_calc^2</f>
        <v/>
      </c>
      <c r="Z83" s="15">
        <f>$W$83/h_calc+6*$X$83/h_calc^2</f>
        <v/>
      </c>
      <c r="AA83" s="16">
        <f>$T$83*$U$83</f>
        <v/>
      </c>
      <c r="AB83" s="16">
        <f>$S$83*$U$83</f>
        <v/>
      </c>
      <c r="AC83" s="16">
        <f>$T$83^2*$U$83+$R$83^2*$V$83</f>
        <v/>
      </c>
      <c r="AD83" s="16">
        <f>$T$83*$S$83*$U$83+$R$83*$Q$83*$V$83</f>
        <v/>
      </c>
      <c r="AE83" s="16">
        <f>$D$83*$K$83</f>
        <v/>
      </c>
      <c r="AF83" s="16">
        <f>$E$83*$J$83</f>
        <v/>
      </c>
    </row>
    <row r="84">
      <c r="A84" s="15" t="n">
        <v>54</v>
      </c>
      <c r="B84" s="15">
        <f>IF($A$84&lt;=20,1,IF($A$84&lt;=40,2,3))</f>
        <v/>
      </c>
      <c r="C84" s="15">
        <f>($A$84-20*($B$84-1)-0.5)/20*CHOOSE($B$84,R_load*alpha,TL,R_supp*alpha)</f>
        <v/>
      </c>
      <c r="D84" s="15">
        <f>CHOOSE($B$84,R_load*SIN($C$84/R_load),R_load*SIN(alpha)+$C$84*COS(alpha),c_-R_supp*SIN(alpha-$C$84/R_supp))</f>
        <v/>
      </c>
      <c r="E84" s="15">
        <f>CHOOSE($B$84,f_-R_load+R_load*COS($C$84/R_load),f_-R_load*(1-COS(alpha))-$C$84*SIN(alpha),-f_+R_supp-R_supp*COS(alpha-$C$84/R_supp))</f>
        <v/>
      </c>
      <c r="F84" s="15">
        <f>CHOOSE($B$84,-$C$84/R_load,-alpha,-(alpha-$C$84/R_supp))</f>
        <v/>
      </c>
      <c r="G84" s="15">
        <f>CHOOSE($B$84,R_load*alpha,TL,R_supp*alpha)/20</f>
        <v/>
      </c>
      <c r="H84" s="15">
        <f>$G$84*COS($F$84)</f>
        <v/>
      </c>
      <c r="I84" s="15">
        <f>$G$84*SIN($F$84)</f>
        <v/>
      </c>
      <c r="J84" s="16">
        <f>q_p*$I$84</f>
        <v/>
      </c>
      <c r="K84" s="16">
        <f>-q_p*$H$84</f>
        <v/>
      </c>
      <c r="L84" s="16">
        <f>SUM($J$31:$J$84)-0.5*$J$84</f>
        <v/>
      </c>
      <c r="M84" s="16">
        <f>SUM($K$31:$K$84)-0.5*$K$84</f>
        <v/>
      </c>
      <c r="N84" s="16">
        <f>SUMPRODUCT($D$31:$D$84,$K$31:$K$84)-0.5*$D$84*$K$84</f>
        <v/>
      </c>
      <c r="O84" s="16">
        <f>SUMPRODUCT($E$31:$E$84,$J$31:$J$84)-0.5*$E$84*$J$84</f>
        <v/>
      </c>
      <c r="P84" s="16">
        <f>($N$84-$D$84*$M$84)-($O$84-$E$84*$L$84)</f>
        <v/>
      </c>
      <c r="Q84" s="16">
        <f>-$L$84*COS($F$84)-$M$84*SIN($F$84)</f>
        <v/>
      </c>
      <c r="R84" s="15">
        <f>-COS($F$84)</f>
        <v/>
      </c>
      <c r="S84" s="16">
        <f>-$P$84</f>
        <v/>
      </c>
      <c r="T84" s="15">
        <f>f_-$E$84</f>
        <v/>
      </c>
      <c r="U84" s="16">
        <f>$G$84/EI_</f>
        <v/>
      </c>
      <c r="V84" s="16">
        <f>$G$84/EA_</f>
        <v/>
      </c>
      <c r="W84" s="15">
        <f>$Q$84+P_fr*$R$84</f>
        <v/>
      </c>
      <c r="X84" s="15">
        <f>$S$84+P_fr*$T$84-Mc_fr</f>
        <v/>
      </c>
      <c r="Y84" s="15">
        <f>$W$84/h_calc-6*$X$84/h_calc^2</f>
        <v/>
      </c>
      <c r="Z84" s="15">
        <f>$W$84/h_calc+6*$X$84/h_calc^2</f>
        <v/>
      </c>
      <c r="AA84" s="16">
        <f>$T$84*$U$84</f>
        <v/>
      </c>
      <c r="AB84" s="16">
        <f>$S$84*$U$84</f>
        <v/>
      </c>
      <c r="AC84" s="16">
        <f>$T$84^2*$U$84+$R$84^2*$V$84</f>
        <v/>
      </c>
      <c r="AD84" s="16">
        <f>$T$84*$S$84*$U$84+$R$84*$Q$84*$V$84</f>
        <v/>
      </c>
      <c r="AE84" s="16">
        <f>$D$84*$K$84</f>
        <v/>
      </c>
      <c r="AF84" s="16">
        <f>$E$84*$J$84</f>
        <v/>
      </c>
    </row>
    <row r="85">
      <c r="A85" s="15" t="n">
        <v>55</v>
      </c>
      <c r="B85" s="15">
        <f>IF($A$85&lt;=20,1,IF($A$85&lt;=40,2,3))</f>
        <v/>
      </c>
      <c r="C85" s="15">
        <f>($A$85-20*($B$85-1)-0.5)/20*CHOOSE($B$85,R_load*alpha,TL,R_supp*alpha)</f>
        <v/>
      </c>
      <c r="D85" s="15">
        <f>CHOOSE($B$85,R_load*SIN($C$85/R_load),R_load*SIN(alpha)+$C$85*COS(alpha),c_-R_supp*SIN(alpha-$C$85/R_supp))</f>
        <v/>
      </c>
      <c r="E85" s="15">
        <f>CHOOSE($B$85,f_-R_load+R_load*COS($C$85/R_load),f_-R_load*(1-COS(alpha))-$C$85*SIN(alpha),-f_+R_supp-R_supp*COS(alpha-$C$85/R_supp))</f>
        <v/>
      </c>
      <c r="F85" s="15">
        <f>CHOOSE($B$85,-$C$85/R_load,-alpha,-(alpha-$C$85/R_supp))</f>
        <v/>
      </c>
      <c r="G85" s="15">
        <f>CHOOSE($B$85,R_load*alpha,TL,R_supp*alpha)/20</f>
        <v/>
      </c>
      <c r="H85" s="15">
        <f>$G$85*COS($F$85)</f>
        <v/>
      </c>
      <c r="I85" s="15">
        <f>$G$85*SIN($F$85)</f>
        <v/>
      </c>
      <c r="J85" s="16">
        <f>q_p*$I$85</f>
        <v/>
      </c>
      <c r="K85" s="16">
        <f>-q_p*$H$85</f>
        <v/>
      </c>
      <c r="L85" s="16">
        <f>SUM($J$31:$J$85)-0.5*$J$85</f>
        <v/>
      </c>
      <c r="M85" s="16">
        <f>SUM($K$31:$K$85)-0.5*$K$85</f>
        <v/>
      </c>
      <c r="N85" s="16">
        <f>SUMPRODUCT($D$31:$D$85,$K$31:$K$85)-0.5*$D$85*$K$85</f>
        <v/>
      </c>
      <c r="O85" s="16">
        <f>SUMPRODUCT($E$31:$E$85,$J$31:$J$85)-0.5*$E$85*$J$85</f>
        <v/>
      </c>
      <c r="P85" s="16">
        <f>($N$85-$D$85*$M$85)-($O$85-$E$85*$L$85)</f>
        <v/>
      </c>
      <c r="Q85" s="16">
        <f>-$L$85*COS($F$85)-$M$85*SIN($F$85)</f>
        <v/>
      </c>
      <c r="R85" s="15">
        <f>-COS($F$85)</f>
        <v/>
      </c>
      <c r="S85" s="16">
        <f>-$P$85</f>
        <v/>
      </c>
      <c r="T85" s="15">
        <f>f_-$E$85</f>
        <v/>
      </c>
      <c r="U85" s="16">
        <f>$G$85/EI_</f>
        <v/>
      </c>
      <c r="V85" s="16">
        <f>$G$85/EA_</f>
        <v/>
      </c>
      <c r="W85" s="15">
        <f>$Q$85+P_fr*$R$85</f>
        <v/>
      </c>
      <c r="X85" s="15">
        <f>$S$85+P_fr*$T$85-Mc_fr</f>
        <v/>
      </c>
      <c r="Y85" s="15">
        <f>$W$85/h_calc-6*$X$85/h_calc^2</f>
        <v/>
      </c>
      <c r="Z85" s="15">
        <f>$W$85/h_calc+6*$X$85/h_calc^2</f>
        <v/>
      </c>
      <c r="AA85" s="16">
        <f>$T$85*$U$85</f>
        <v/>
      </c>
      <c r="AB85" s="16">
        <f>$S$85*$U$85</f>
        <v/>
      </c>
      <c r="AC85" s="16">
        <f>$T$85^2*$U$85+$R$85^2*$V$85</f>
        <v/>
      </c>
      <c r="AD85" s="16">
        <f>$T$85*$S$85*$U$85+$R$85*$Q$85*$V$85</f>
        <v/>
      </c>
      <c r="AE85" s="16">
        <f>$D$85*$K$85</f>
        <v/>
      </c>
      <c r="AF85" s="16">
        <f>$E$85*$J$85</f>
        <v/>
      </c>
    </row>
    <row r="86">
      <c r="A86" s="15" t="n">
        <v>56</v>
      </c>
      <c r="B86" s="15">
        <f>IF($A$86&lt;=20,1,IF($A$86&lt;=40,2,3))</f>
        <v/>
      </c>
      <c r="C86" s="15">
        <f>($A$86-20*($B$86-1)-0.5)/20*CHOOSE($B$86,R_load*alpha,TL,R_supp*alpha)</f>
        <v/>
      </c>
      <c r="D86" s="15">
        <f>CHOOSE($B$86,R_load*SIN($C$86/R_load),R_load*SIN(alpha)+$C$86*COS(alpha),c_-R_supp*SIN(alpha-$C$86/R_supp))</f>
        <v/>
      </c>
      <c r="E86" s="15">
        <f>CHOOSE($B$86,f_-R_load+R_load*COS($C$86/R_load),f_-R_load*(1-COS(alpha))-$C$86*SIN(alpha),-f_+R_supp-R_supp*COS(alpha-$C$86/R_supp))</f>
        <v/>
      </c>
      <c r="F86" s="15">
        <f>CHOOSE($B$86,-$C$86/R_load,-alpha,-(alpha-$C$86/R_supp))</f>
        <v/>
      </c>
      <c r="G86" s="15">
        <f>CHOOSE($B$86,R_load*alpha,TL,R_supp*alpha)/20</f>
        <v/>
      </c>
      <c r="H86" s="15">
        <f>$G$86*COS($F$86)</f>
        <v/>
      </c>
      <c r="I86" s="15">
        <f>$G$86*SIN($F$86)</f>
        <v/>
      </c>
      <c r="J86" s="16">
        <f>q_p*$I$86</f>
        <v/>
      </c>
      <c r="K86" s="16">
        <f>-q_p*$H$86</f>
        <v/>
      </c>
      <c r="L86" s="16">
        <f>SUM($J$31:$J$86)-0.5*$J$86</f>
        <v/>
      </c>
      <c r="M86" s="16">
        <f>SUM($K$31:$K$86)-0.5*$K$86</f>
        <v/>
      </c>
      <c r="N86" s="16">
        <f>SUMPRODUCT($D$31:$D$86,$K$31:$K$86)-0.5*$D$86*$K$86</f>
        <v/>
      </c>
      <c r="O86" s="16">
        <f>SUMPRODUCT($E$31:$E$86,$J$31:$J$86)-0.5*$E$86*$J$86</f>
        <v/>
      </c>
      <c r="P86" s="16">
        <f>($N$86-$D$86*$M$86)-($O$86-$E$86*$L$86)</f>
        <v/>
      </c>
      <c r="Q86" s="16">
        <f>-$L$86*COS($F$86)-$M$86*SIN($F$86)</f>
        <v/>
      </c>
      <c r="R86" s="15">
        <f>-COS($F$86)</f>
        <v/>
      </c>
      <c r="S86" s="16">
        <f>-$P$86</f>
        <v/>
      </c>
      <c r="T86" s="15">
        <f>f_-$E$86</f>
        <v/>
      </c>
      <c r="U86" s="16">
        <f>$G$86/EI_</f>
        <v/>
      </c>
      <c r="V86" s="16">
        <f>$G$86/EA_</f>
        <v/>
      </c>
      <c r="W86" s="15">
        <f>$Q$86+P_fr*$R$86</f>
        <v/>
      </c>
      <c r="X86" s="15">
        <f>$S$86+P_fr*$T$86-Mc_fr</f>
        <v/>
      </c>
      <c r="Y86" s="15">
        <f>$W$86/h_calc-6*$X$86/h_calc^2</f>
        <v/>
      </c>
      <c r="Z86" s="15">
        <f>$W$86/h_calc+6*$X$86/h_calc^2</f>
        <v/>
      </c>
      <c r="AA86" s="16">
        <f>$T$86*$U$86</f>
        <v/>
      </c>
      <c r="AB86" s="16">
        <f>$S$86*$U$86</f>
        <v/>
      </c>
      <c r="AC86" s="16">
        <f>$T$86^2*$U$86+$R$86^2*$V$86</f>
        <v/>
      </c>
      <c r="AD86" s="16">
        <f>$T$86*$S$86*$U$86+$R$86*$Q$86*$V$86</f>
        <v/>
      </c>
      <c r="AE86" s="16">
        <f>$D$86*$K$86</f>
        <v/>
      </c>
      <c r="AF86" s="16">
        <f>$E$86*$J$86</f>
        <v/>
      </c>
    </row>
    <row r="87">
      <c r="A87" s="15" t="n">
        <v>57</v>
      </c>
      <c r="B87" s="15">
        <f>IF($A$87&lt;=20,1,IF($A$87&lt;=40,2,3))</f>
        <v/>
      </c>
      <c r="C87" s="15">
        <f>($A$87-20*($B$87-1)-0.5)/20*CHOOSE($B$87,R_load*alpha,TL,R_supp*alpha)</f>
        <v/>
      </c>
      <c r="D87" s="15">
        <f>CHOOSE($B$87,R_load*SIN($C$87/R_load),R_load*SIN(alpha)+$C$87*COS(alpha),c_-R_supp*SIN(alpha-$C$87/R_supp))</f>
        <v/>
      </c>
      <c r="E87" s="15">
        <f>CHOOSE($B$87,f_-R_load+R_load*COS($C$87/R_load),f_-R_load*(1-COS(alpha))-$C$87*SIN(alpha),-f_+R_supp-R_supp*COS(alpha-$C$87/R_supp))</f>
        <v/>
      </c>
      <c r="F87" s="15">
        <f>CHOOSE($B$87,-$C$87/R_load,-alpha,-(alpha-$C$87/R_supp))</f>
        <v/>
      </c>
      <c r="G87" s="15">
        <f>CHOOSE($B$87,R_load*alpha,TL,R_supp*alpha)/20</f>
        <v/>
      </c>
      <c r="H87" s="15">
        <f>$G$87*COS($F$87)</f>
        <v/>
      </c>
      <c r="I87" s="15">
        <f>$G$87*SIN($F$87)</f>
        <v/>
      </c>
      <c r="J87" s="16">
        <f>q_p*$I$87</f>
        <v/>
      </c>
      <c r="K87" s="16">
        <f>-q_p*$H$87</f>
        <v/>
      </c>
      <c r="L87" s="16">
        <f>SUM($J$31:$J$87)-0.5*$J$87</f>
        <v/>
      </c>
      <c r="M87" s="16">
        <f>SUM($K$31:$K$87)-0.5*$K$87</f>
        <v/>
      </c>
      <c r="N87" s="16">
        <f>SUMPRODUCT($D$31:$D$87,$K$31:$K$87)-0.5*$D$87*$K$87</f>
        <v/>
      </c>
      <c r="O87" s="16">
        <f>SUMPRODUCT($E$31:$E$87,$J$31:$J$87)-0.5*$E$87*$J$87</f>
        <v/>
      </c>
      <c r="P87" s="16">
        <f>($N$87-$D$87*$M$87)-($O$87-$E$87*$L$87)</f>
        <v/>
      </c>
      <c r="Q87" s="16">
        <f>-$L$87*COS($F$87)-$M$87*SIN($F$87)</f>
        <v/>
      </c>
      <c r="R87" s="15">
        <f>-COS($F$87)</f>
        <v/>
      </c>
      <c r="S87" s="16">
        <f>-$P$87</f>
        <v/>
      </c>
      <c r="T87" s="15">
        <f>f_-$E$87</f>
        <v/>
      </c>
      <c r="U87" s="16">
        <f>$G$87/EI_</f>
        <v/>
      </c>
      <c r="V87" s="16">
        <f>$G$87/EA_</f>
        <v/>
      </c>
      <c r="W87" s="15">
        <f>$Q$87+P_fr*$R$87</f>
        <v/>
      </c>
      <c r="X87" s="15">
        <f>$S$87+P_fr*$T$87-Mc_fr</f>
        <v/>
      </c>
      <c r="Y87" s="15">
        <f>$W$87/h_calc-6*$X$87/h_calc^2</f>
        <v/>
      </c>
      <c r="Z87" s="15">
        <f>$W$87/h_calc+6*$X$87/h_calc^2</f>
        <v/>
      </c>
      <c r="AA87" s="16">
        <f>$T$87*$U$87</f>
        <v/>
      </c>
      <c r="AB87" s="16">
        <f>$S$87*$U$87</f>
        <v/>
      </c>
      <c r="AC87" s="16">
        <f>$T$87^2*$U$87+$R$87^2*$V$87</f>
        <v/>
      </c>
      <c r="AD87" s="16">
        <f>$T$87*$S$87*$U$87+$R$87*$Q$87*$V$87</f>
        <v/>
      </c>
      <c r="AE87" s="16">
        <f>$D$87*$K$87</f>
        <v/>
      </c>
      <c r="AF87" s="16">
        <f>$E$87*$J$87</f>
        <v/>
      </c>
    </row>
    <row r="88">
      <c r="A88" s="15" t="n">
        <v>58</v>
      </c>
      <c r="B88" s="15">
        <f>IF($A$88&lt;=20,1,IF($A$88&lt;=40,2,3))</f>
        <v/>
      </c>
      <c r="C88" s="15">
        <f>($A$88-20*($B$88-1)-0.5)/20*CHOOSE($B$88,R_load*alpha,TL,R_supp*alpha)</f>
        <v/>
      </c>
      <c r="D88" s="15">
        <f>CHOOSE($B$88,R_load*SIN($C$88/R_load),R_load*SIN(alpha)+$C$88*COS(alpha),c_-R_supp*SIN(alpha-$C$88/R_supp))</f>
        <v/>
      </c>
      <c r="E88" s="15">
        <f>CHOOSE($B$88,f_-R_load+R_load*COS($C$88/R_load),f_-R_load*(1-COS(alpha))-$C$88*SIN(alpha),-f_+R_supp-R_supp*COS(alpha-$C$88/R_supp))</f>
        <v/>
      </c>
      <c r="F88" s="15">
        <f>CHOOSE($B$88,-$C$88/R_load,-alpha,-(alpha-$C$88/R_supp))</f>
        <v/>
      </c>
      <c r="G88" s="15">
        <f>CHOOSE($B$88,R_load*alpha,TL,R_supp*alpha)/20</f>
        <v/>
      </c>
      <c r="H88" s="15">
        <f>$G$88*COS($F$88)</f>
        <v/>
      </c>
      <c r="I88" s="15">
        <f>$G$88*SIN($F$88)</f>
        <v/>
      </c>
      <c r="J88" s="16">
        <f>q_p*$I$88</f>
        <v/>
      </c>
      <c r="K88" s="16">
        <f>-q_p*$H$88</f>
        <v/>
      </c>
      <c r="L88" s="16">
        <f>SUM($J$31:$J$88)-0.5*$J$88</f>
        <v/>
      </c>
      <c r="M88" s="16">
        <f>SUM($K$31:$K$88)-0.5*$K$88</f>
        <v/>
      </c>
      <c r="N88" s="16">
        <f>SUMPRODUCT($D$31:$D$88,$K$31:$K$88)-0.5*$D$88*$K$88</f>
        <v/>
      </c>
      <c r="O88" s="16">
        <f>SUMPRODUCT($E$31:$E$88,$J$31:$J$88)-0.5*$E$88*$J$88</f>
        <v/>
      </c>
      <c r="P88" s="16">
        <f>($N$88-$D$88*$M$88)-($O$88-$E$88*$L$88)</f>
        <v/>
      </c>
      <c r="Q88" s="16">
        <f>-$L$88*COS($F$88)-$M$88*SIN($F$88)</f>
        <v/>
      </c>
      <c r="R88" s="15">
        <f>-COS($F$88)</f>
        <v/>
      </c>
      <c r="S88" s="16">
        <f>-$P$88</f>
        <v/>
      </c>
      <c r="T88" s="15">
        <f>f_-$E$88</f>
        <v/>
      </c>
      <c r="U88" s="16">
        <f>$G$88/EI_</f>
        <v/>
      </c>
      <c r="V88" s="16">
        <f>$G$88/EA_</f>
        <v/>
      </c>
      <c r="W88" s="15">
        <f>$Q$88+P_fr*$R$88</f>
        <v/>
      </c>
      <c r="X88" s="15">
        <f>$S$88+P_fr*$T$88-Mc_fr</f>
        <v/>
      </c>
      <c r="Y88" s="15">
        <f>$W$88/h_calc-6*$X$88/h_calc^2</f>
        <v/>
      </c>
      <c r="Z88" s="15">
        <f>$W$88/h_calc+6*$X$88/h_calc^2</f>
        <v/>
      </c>
      <c r="AA88" s="16">
        <f>$T$88*$U$88</f>
        <v/>
      </c>
      <c r="AB88" s="16">
        <f>$S$88*$U$88</f>
        <v/>
      </c>
      <c r="AC88" s="16">
        <f>$T$88^2*$U$88+$R$88^2*$V$88</f>
        <v/>
      </c>
      <c r="AD88" s="16">
        <f>$T$88*$S$88*$U$88+$R$88*$Q$88*$V$88</f>
        <v/>
      </c>
      <c r="AE88" s="16">
        <f>$D$88*$K$88</f>
        <v/>
      </c>
      <c r="AF88" s="16">
        <f>$E$88*$J$88</f>
        <v/>
      </c>
    </row>
    <row r="89">
      <c r="A89" s="15" t="n">
        <v>59</v>
      </c>
      <c r="B89" s="15">
        <f>IF($A$89&lt;=20,1,IF($A$89&lt;=40,2,3))</f>
        <v/>
      </c>
      <c r="C89" s="15">
        <f>($A$89-20*($B$89-1)-0.5)/20*CHOOSE($B$89,R_load*alpha,TL,R_supp*alpha)</f>
        <v/>
      </c>
      <c r="D89" s="15">
        <f>CHOOSE($B$89,R_load*SIN($C$89/R_load),R_load*SIN(alpha)+$C$89*COS(alpha),c_-R_supp*SIN(alpha-$C$89/R_supp))</f>
        <v/>
      </c>
      <c r="E89" s="15">
        <f>CHOOSE($B$89,f_-R_load+R_load*COS($C$89/R_load),f_-R_load*(1-COS(alpha))-$C$89*SIN(alpha),-f_+R_supp-R_supp*COS(alpha-$C$89/R_supp))</f>
        <v/>
      </c>
      <c r="F89" s="15">
        <f>CHOOSE($B$89,-$C$89/R_load,-alpha,-(alpha-$C$89/R_supp))</f>
        <v/>
      </c>
      <c r="G89" s="15">
        <f>CHOOSE($B$89,R_load*alpha,TL,R_supp*alpha)/20</f>
        <v/>
      </c>
      <c r="H89" s="15">
        <f>$G$89*COS($F$89)</f>
        <v/>
      </c>
      <c r="I89" s="15">
        <f>$G$89*SIN($F$89)</f>
        <v/>
      </c>
      <c r="J89" s="16">
        <f>q_p*$I$89</f>
        <v/>
      </c>
      <c r="K89" s="16">
        <f>-q_p*$H$89</f>
        <v/>
      </c>
      <c r="L89" s="16">
        <f>SUM($J$31:$J$89)-0.5*$J$89</f>
        <v/>
      </c>
      <c r="M89" s="16">
        <f>SUM($K$31:$K$89)-0.5*$K$89</f>
        <v/>
      </c>
      <c r="N89" s="16">
        <f>SUMPRODUCT($D$31:$D$89,$K$31:$K$89)-0.5*$D$89*$K$89</f>
        <v/>
      </c>
      <c r="O89" s="16">
        <f>SUMPRODUCT($E$31:$E$89,$J$31:$J$89)-0.5*$E$89*$J$89</f>
        <v/>
      </c>
      <c r="P89" s="16">
        <f>($N$89-$D$89*$M$89)-($O$89-$E$89*$L$89)</f>
        <v/>
      </c>
      <c r="Q89" s="16">
        <f>-$L$89*COS($F$89)-$M$89*SIN($F$89)</f>
        <v/>
      </c>
      <c r="R89" s="15">
        <f>-COS($F$89)</f>
        <v/>
      </c>
      <c r="S89" s="16">
        <f>-$P$89</f>
        <v/>
      </c>
      <c r="T89" s="15">
        <f>f_-$E$89</f>
        <v/>
      </c>
      <c r="U89" s="16">
        <f>$G$89/EI_</f>
        <v/>
      </c>
      <c r="V89" s="16">
        <f>$G$89/EA_</f>
        <v/>
      </c>
      <c r="W89" s="15">
        <f>$Q$89+P_fr*$R$89</f>
        <v/>
      </c>
      <c r="X89" s="15">
        <f>$S$89+P_fr*$T$89-Mc_fr</f>
        <v/>
      </c>
      <c r="Y89" s="15">
        <f>$W$89/h_calc-6*$X$89/h_calc^2</f>
        <v/>
      </c>
      <c r="Z89" s="15">
        <f>$W$89/h_calc+6*$X$89/h_calc^2</f>
        <v/>
      </c>
      <c r="AA89" s="16">
        <f>$T$89*$U$89</f>
        <v/>
      </c>
      <c r="AB89" s="16">
        <f>$S$89*$U$89</f>
        <v/>
      </c>
      <c r="AC89" s="16">
        <f>$T$89^2*$U$89+$R$89^2*$V$89</f>
        <v/>
      </c>
      <c r="AD89" s="16">
        <f>$T$89*$S$89*$U$89+$R$89*$Q$89*$V$89</f>
        <v/>
      </c>
      <c r="AE89" s="16">
        <f>$D$89*$K$89</f>
        <v/>
      </c>
      <c r="AF89" s="16">
        <f>$E$89*$J$89</f>
        <v/>
      </c>
    </row>
    <row r="90">
      <c r="A90" s="15" t="n">
        <v>60</v>
      </c>
      <c r="B90" s="15">
        <f>IF($A$90&lt;=20,1,IF($A$90&lt;=40,2,3))</f>
        <v/>
      </c>
      <c r="C90" s="15">
        <f>($A$90-20*($B$90-1)-0.5)/20*CHOOSE($B$90,R_load*alpha,TL,R_supp*alpha)</f>
        <v/>
      </c>
      <c r="D90" s="15">
        <f>CHOOSE($B$90,R_load*SIN($C$90/R_load),R_load*SIN(alpha)+$C$90*COS(alpha),c_-R_supp*SIN(alpha-$C$90/R_supp))</f>
        <v/>
      </c>
      <c r="E90" s="15">
        <f>CHOOSE($B$90,f_-R_load+R_load*COS($C$90/R_load),f_-R_load*(1-COS(alpha))-$C$90*SIN(alpha),-f_+R_supp-R_supp*COS(alpha-$C$90/R_supp))</f>
        <v/>
      </c>
      <c r="F90" s="15">
        <f>CHOOSE($B$90,-$C$90/R_load,-alpha,-(alpha-$C$90/R_supp))</f>
        <v/>
      </c>
      <c r="G90" s="15">
        <f>CHOOSE($B$90,R_load*alpha,TL,R_supp*alpha)/20</f>
        <v/>
      </c>
      <c r="H90" s="15">
        <f>$G$90*COS($F$90)</f>
        <v/>
      </c>
      <c r="I90" s="15">
        <f>$G$90*SIN($F$90)</f>
        <v/>
      </c>
      <c r="J90" s="16">
        <f>q_p*$I$90</f>
        <v/>
      </c>
      <c r="K90" s="16">
        <f>-q_p*$H$90</f>
        <v/>
      </c>
      <c r="L90" s="16">
        <f>SUM($J$31:$J$90)-0.5*$J$90</f>
        <v/>
      </c>
      <c r="M90" s="16">
        <f>SUM($K$31:$K$90)-0.5*$K$90</f>
        <v/>
      </c>
      <c r="N90" s="16">
        <f>SUMPRODUCT($D$31:$D$90,$K$31:$K$90)-0.5*$D$90*$K$90</f>
        <v/>
      </c>
      <c r="O90" s="16">
        <f>SUMPRODUCT($E$31:$E$90,$J$31:$J$90)-0.5*$E$90*$J$90</f>
        <v/>
      </c>
      <c r="P90" s="16">
        <f>($N$90-$D$90*$M$90)-($O$90-$E$90*$L$90)</f>
        <v/>
      </c>
      <c r="Q90" s="16">
        <f>-$L$90*COS($F$90)-$M$90*SIN($F$90)</f>
        <v/>
      </c>
      <c r="R90" s="15">
        <f>-COS($F$90)</f>
        <v/>
      </c>
      <c r="S90" s="16">
        <f>-$P$90</f>
        <v/>
      </c>
      <c r="T90" s="15">
        <f>f_-$E$90</f>
        <v/>
      </c>
      <c r="U90" s="16">
        <f>$G$90/EI_</f>
        <v/>
      </c>
      <c r="V90" s="16">
        <f>$G$90/EA_</f>
        <v/>
      </c>
      <c r="W90" s="15">
        <f>$Q$90+P_fr*$R$90</f>
        <v/>
      </c>
      <c r="X90" s="15">
        <f>$S$90+P_fr*$T$90-Mc_fr</f>
        <v/>
      </c>
      <c r="Y90" s="15">
        <f>$W$90/h_calc-6*$X$90/h_calc^2</f>
        <v/>
      </c>
      <c r="Z90" s="15">
        <f>$W$90/h_calc+6*$X$90/h_calc^2</f>
        <v/>
      </c>
      <c r="AA90" s="16">
        <f>$T$90*$U$90</f>
        <v/>
      </c>
      <c r="AB90" s="16">
        <f>$S$90*$U$90</f>
        <v/>
      </c>
      <c r="AC90" s="16">
        <f>$T$90^2*$U$90+$R$90^2*$V$90</f>
        <v/>
      </c>
      <c r="AD90" s="16">
        <f>$T$90*$S$90*$U$90+$R$90*$Q$90*$V$90</f>
        <v/>
      </c>
      <c r="AE90" s="16">
        <f>$D$90*$K$90</f>
        <v/>
      </c>
      <c r="AF90" s="16">
        <f>$E$90*$J$90</f>
        <v/>
      </c>
    </row>
    <row r="92">
      <c r="A92" s="8" t="inlineStr">
        <is>
          <t>a_MM = Σ wM</t>
        </is>
      </c>
      <c r="B92" s="16">
        <f>SUM($U$31:$U$90)</f>
        <v/>
      </c>
      <c r="C92" s="8" t="inlineStr"/>
      <c r="D92" s="10" t="inlineStr">
        <is>
          <t>MM = −1</t>
        </is>
      </c>
    </row>
    <row r="93">
      <c r="A93" s="8" t="inlineStr">
        <is>
          <t>a_MP = Σ MM·MP·wM</t>
        </is>
      </c>
      <c r="B93" s="16">
        <f>-SUM($AA$31:$AA$90)</f>
        <v/>
      </c>
      <c r="C93" s="8" t="inlineStr"/>
      <c r="D93" s="10" t="inlineStr"/>
    </row>
    <row r="94">
      <c r="A94" s="8" t="inlineStr">
        <is>
          <t>b_M = −Σ MM·M0·wM</t>
        </is>
      </c>
      <c r="B94" s="16">
        <f>SUM($AB$31:$AB$90)</f>
        <v/>
      </c>
      <c r="C94" s="8" t="inlineStr"/>
      <c r="D94" s="10" t="inlineStr"/>
    </row>
    <row r="95">
      <c r="A95" s="8" t="inlineStr">
        <is>
          <t>a_PP = Σ(MP²wM + NP²wN)</t>
        </is>
      </c>
      <c r="B95" s="16">
        <f>SUM($AC$31:$AC$90)</f>
        <v/>
      </c>
      <c r="C95" s="8" t="inlineStr"/>
      <c r="D95" s="10" t="inlineStr"/>
    </row>
    <row r="96">
      <c r="A96" s="8" t="inlineStr">
        <is>
          <t>b_P = −Σ(MP·M0·wM + NP·N0·wN)</t>
        </is>
      </c>
      <c r="B96" s="16">
        <f>-SUM($AD$31:$AD$90)</f>
        <v/>
      </c>
      <c r="C96" s="8" t="inlineStr"/>
      <c r="D96" s="10" t="inlineStr"/>
    </row>
    <row r="97">
      <c r="A97" s="8" t="inlineStr">
        <is>
          <t>det = a_MM·a_PP − a_MP²</t>
        </is>
      </c>
      <c r="B97" s="16">
        <f>aMM*aPP-aMP^2</f>
        <v/>
      </c>
      <c r="C97" s="8" t="inlineStr"/>
      <c r="D97" s="10" t="inlineStr"/>
    </row>
    <row r="98">
      <c r="A98" s="8" t="inlineStr">
        <is>
          <t>M_c (x=0 잉여 모멘트)</t>
        </is>
      </c>
      <c r="B98" s="15">
        <f>IF(in_inplane="fixed",(bM*aPP-aMP*bP)/det_fr,bM/aMM)</f>
        <v/>
      </c>
      <c r="C98" s="8" t="inlineStr">
        <is>
          <t>N·mm/mm</t>
        </is>
      </c>
      <c r="D98" s="10" t="inlineStr"/>
    </row>
    <row r="99">
      <c r="A99" s="8" t="inlineStr">
        <is>
          <t>P (x=0 수평 추력)</t>
        </is>
      </c>
      <c r="B99" s="15">
        <f>IF(in_inplane="fixed",(aMM*bP-aMP*bM)/det_fr,0)</f>
        <v/>
      </c>
      <c r="C99" s="8" t="inlineStr">
        <is>
          <t>N/mm</t>
        </is>
      </c>
      <c r="D99" s="10" t="inlineStr">
        <is>
          <t>free → 0</t>
        </is>
      </c>
    </row>
    <row r="101">
      <c r="A101" s="6" t="inlineStr">
        <is>
          <t>(A) 끝점 정확값 — 하중 쪽 능선 (x=0) 과 지지선 (x=c)</t>
        </is>
      </c>
      <c r="B101" s="6" t="n"/>
      <c r="C101" s="6" t="n"/>
      <c r="D101" s="6" t="n"/>
    </row>
    <row r="102">
      <c r="A102" s="7" t="inlineStr">
        <is>
          <t>항목</t>
        </is>
      </c>
      <c r="B102" s="7" t="inlineStr">
        <is>
          <t>값</t>
        </is>
      </c>
      <c r="C102" s="7" t="inlineStr">
        <is>
          <t>단위</t>
        </is>
      </c>
      <c r="D102" s="7" t="inlineStr">
        <is>
          <t>비고 / 수식 근거</t>
        </is>
      </c>
    </row>
    <row r="103">
      <c r="A103" s="8" t="inlineStr">
        <is>
          <t>ΣFx</t>
        </is>
      </c>
      <c r="B103" s="16">
        <f>SUM($J$31:$J$90)</f>
        <v/>
      </c>
      <c r="C103" s="8" t="inlineStr">
        <is>
          <t>N/mm</t>
        </is>
      </c>
      <c r="D103" s="10" t="inlineStr"/>
    </row>
    <row r="104">
      <c r="A104" s="8" t="inlineStr">
        <is>
          <t>ΣFz</t>
        </is>
      </c>
      <c r="B104" s="15">
        <f>SUM($K$31:$K$90)</f>
        <v/>
      </c>
      <c r="C104" s="8" t="inlineStr">
        <is>
          <t>N/mm</t>
        </is>
      </c>
      <c r="D104" s="10" t="inlineStr">
        <is>
          <t>(= −q·c)</t>
        </is>
      </c>
    </row>
    <row r="105">
      <c r="A105" s="8" t="inlineStr">
        <is>
          <t>S_load(x=c)</t>
        </is>
      </c>
      <c r="B105" s="15">
        <f>(SUM($AE$31:$AE$90)-c_*SFz)-(SUM($AF$31:$AF$90)+f_*SFx)</f>
        <v/>
      </c>
      <c r="C105" s="8" t="inlineStr">
        <is>
          <t>N·mm/mm</t>
        </is>
      </c>
      <c r="D105" s="10" t="inlineStr"/>
    </row>
    <row r="106">
      <c r="A106" s="8" t="inlineStr">
        <is>
          <t>M 하중 쪽 능선 = −M_c</t>
        </is>
      </c>
      <c r="B106" s="15">
        <f>-Mc_fr</f>
        <v/>
      </c>
      <c r="C106" s="8" t="inlineStr">
        <is>
          <t>N·mm/mm</t>
        </is>
      </c>
      <c r="D106" s="10" t="inlineStr">
        <is>
          <t>M&gt;0: −n 면 인장</t>
        </is>
      </c>
    </row>
    <row r="107">
      <c r="A107" s="8" t="inlineStr">
        <is>
          <t>N 하중 쪽 능선 = −P</t>
        </is>
      </c>
      <c r="B107" s="15">
        <f>-P_fr</f>
        <v/>
      </c>
      <c r="C107" s="8" t="inlineStr">
        <is>
          <t>N/mm</t>
        </is>
      </c>
      <c r="D107" s="10" t="inlineStr"/>
    </row>
    <row r="108">
      <c r="A108" s="8" t="inlineStr">
        <is>
          <t>M 지지선 = −S_c + 2f·P − M_c</t>
        </is>
      </c>
      <c r="B108" s="15">
        <f>-Sc_+P_fr*2*f_-Mc_fr</f>
        <v/>
      </c>
      <c r="C108" s="8" t="inlineStr">
        <is>
          <t>N·mm/mm</t>
        </is>
      </c>
      <c r="D108" s="10" t="inlineStr"/>
    </row>
    <row r="109">
      <c r="A109" s="8" t="inlineStr">
        <is>
          <t>N 지지선 = −ΣFx − P</t>
        </is>
      </c>
      <c r="B109" s="15">
        <f>-SFx-P_fr</f>
        <v/>
      </c>
      <c r="C109" s="8" t="inlineStr">
        <is>
          <t>N/mm</t>
        </is>
      </c>
      <c r="D109" s="10" t="inlineStr"/>
    </row>
    <row r="110">
      <c r="A110" s="8" t="inlineStr">
        <is>
          <t>σ_s 하중 능선 +n 면</t>
        </is>
      </c>
      <c r="B110" s="18">
        <f>N_ld/h_calc-6*M_ld/h_calc^2</f>
        <v/>
      </c>
      <c r="C110" s="8" t="inlineStr">
        <is>
          <t>MPa</t>
        </is>
      </c>
      <c r="D110" s="10" t="inlineStr">
        <is>
          <t>+n = 물리 +z 면 (고압면 crest) / −z 면 (valley)</t>
        </is>
      </c>
    </row>
    <row r="111">
      <c r="A111" s="8" t="inlineStr">
        <is>
          <t>σ_s 하중 능선 −n 면</t>
        </is>
      </c>
      <c r="B111" s="18">
        <f>N_ld/h_calc+6*M_ld/h_calc^2</f>
        <v/>
      </c>
      <c r="C111" s="8" t="inlineStr">
        <is>
          <t>MPa</t>
        </is>
      </c>
      <c r="D111" s="10" t="inlineStr"/>
    </row>
    <row r="112">
      <c r="A112" s="8" t="inlineStr">
        <is>
          <t>σ_s 지지선 +n 면</t>
        </is>
      </c>
      <c r="B112" s="18">
        <f>N_sp/h_calc-6*M_sp/h_calc^2</f>
        <v/>
      </c>
      <c r="C112" s="8" t="inlineStr">
        <is>
          <t>MPa</t>
        </is>
      </c>
      <c r="D112" s="10" t="inlineStr"/>
    </row>
    <row r="113">
      <c r="A113" s="8" t="inlineStr">
        <is>
          <t>σ_s 지지선 −n 면</t>
        </is>
      </c>
      <c r="B113" s="18">
        <f>N_sp/h_calc+6*M_sp/h_calc^2</f>
        <v/>
      </c>
      <c r="C113" s="8" t="inlineStr">
        <is>
          <t>MPa</t>
        </is>
      </c>
      <c r="D113" s="10" t="inlineStr"/>
    </row>
    <row r="114">
      <c r="A114" s="8" t="inlineStr">
        <is>
          <t>프레임 |σ_s| 최대 (표 + 끝점)</t>
        </is>
      </c>
      <c r="B114" s="18">
        <f>MAX(MAX(ABS($Y$31:$Y$90)),MAX(ABS($Z$31:$Z$90)),ABS(sld_p),ABS(sld_m),ABS(ssp_p),ABS(ssp_m))</f>
        <v/>
      </c>
      <c r="C114" s="8" t="inlineStr">
        <is>
          <t>MPa</t>
        </is>
      </c>
      <c r="D114" s="10" t="inlineStr"/>
    </row>
    <row r="116">
      <c r="A116" s="6" t="inlineStr">
        <is>
          <t>(B) 능선 방향 연속보 (스팬 a, 단위 폭) — VAM 복원 κ_yy = M_y/D22 (M_y&gt;0 = +z 면 압축)</t>
        </is>
      </c>
      <c r="B116" s="6" t="n"/>
      <c r="C116" s="6" t="n"/>
      <c r="D116" s="6" t="n"/>
    </row>
    <row r="117">
      <c r="A117" s="7" t="inlineStr">
        <is>
          <t>항목</t>
        </is>
      </c>
      <c r="B117" s="7" t="inlineStr">
        <is>
          <t>값</t>
        </is>
      </c>
      <c r="C117" s="7" t="inlineStr">
        <is>
          <t>단위</t>
        </is>
      </c>
      <c r="D117" s="7" t="inlineStr">
        <is>
          <t>비고 / 수식 근거</t>
        </is>
      </c>
    </row>
    <row r="118">
      <c r="A118" s="8" t="inlineStr">
        <is>
          <t>M_y 접촉점 = −zsign·q a²/12</t>
        </is>
      </c>
      <c r="B118" s="15">
        <f>-zsgn*q_p*a_lat^2/12</f>
        <v/>
      </c>
      <c r="C118" s="8" t="inlineStr">
        <is>
          <t>N·mm/mm</t>
        </is>
      </c>
      <c r="D118" s="10" t="inlineStr">
        <is>
          <t>지지점에서 고압면 인장</t>
        </is>
      </c>
    </row>
    <row r="119">
      <c r="A119" s="8" t="inlineStr">
        <is>
          <t>M_y 스팬 중앙 = +zsign·q a²/24</t>
        </is>
      </c>
      <c r="B119" s="15">
        <f>zsgn*q_p*a_lat^2/24</f>
        <v/>
      </c>
      <c r="C119" s="8" t="inlineStr">
        <is>
          <t>N·mm/mm</t>
        </is>
      </c>
      <c r="D119" s="10" t="inlineStr"/>
    </row>
    <row r="120">
      <c r="A120" s="4" t="inlineStr">
        <is>
          <t>κ_yy 만 있을 때 능선(√a=1, z=±f): ε_s = −ν z κ, ε_y = z κ, κ_s = ν κ (1/λ − 1), κ_y = κ ;  e = ε − ζ κ, ζ = ±h/2 ;  σ_s = Q(e_s + ν e_y), σ_y = Q(e_y + ν e_s)</t>
        </is>
      </c>
    </row>
    <row r="122">
      <c r="A122" s="6" t="inlineStr">
        <is>
          <t>(A)+(B) 중첩 — 8 점 (σ_s = 프레임 + 능선보, σ_y = ν·프레임 + 능선보, τ = 0)</t>
        </is>
      </c>
      <c r="B122" s="6" t="n"/>
      <c r="C122" s="6" t="n"/>
      <c r="D122" s="6" t="n"/>
    </row>
    <row r="123">
      <c r="A123" s="7" t="inlineStr">
        <is>
          <t>항목</t>
        </is>
      </c>
      <c r="B123" s="7" t="inlineStr">
        <is>
          <t>값</t>
        </is>
      </c>
      <c r="C123" s="7" t="inlineStr">
        <is>
          <t>단위</t>
        </is>
      </c>
      <c r="D123" s="7" t="inlineStr">
        <is>
          <t>비고 / 수식 근거</t>
        </is>
      </c>
    </row>
    <row r="124">
      <c r="A124" s="7" t="inlineStr">
        <is>
          <t>위치 x</t>
        </is>
      </c>
      <c r="B124" s="7" t="inlineStr">
        <is>
          <t>위치 y</t>
        </is>
      </c>
      <c r="C124" s="7" t="inlineStr">
        <is>
          <t>면</t>
        </is>
      </c>
      <c r="D124" s="7" t="inlineStr">
        <is>
          <t>σ_s 프레임</t>
        </is>
      </c>
      <c r="E124" s="7" t="inlineStr">
        <is>
          <t>κ_yy</t>
        </is>
      </c>
      <c r="F124" s="7" t="inlineStr">
        <is>
          <t>σ_s 능선보</t>
        </is>
      </c>
      <c r="G124" s="7" t="inlineStr">
        <is>
          <t>σ_y 능선보</t>
        </is>
      </c>
      <c r="H124" s="7" t="inlineStr">
        <is>
          <t>σ_s</t>
        </is>
      </c>
      <c r="I124" s="7" t="inlineStr">
        <is>
          <t>σ_y</t>
        </is>
      </c>
      <c r="J124" s="7" t="inlineStr">
        <is>
          <t>σ_vM</t>
        </is>
      </c>
    </row>
    <row r="125">
      <c r="A125" s="8">
        <f>IF(zsgn&gt;0,"crest","valley")</f>
        <v/>
      </c>
      <c r="B125" s="8" t="inlineStr">
        <is>
          <t>contact (support)</t>
        </is>
      </c>
      <c r="C125" s="8" t="inlineStr">
        <is>
          <t>+z</t>
        </is>
      </c>
      <c r="D125" s="18">
        <f>IF(zsgn&gt;0,sld_p,sld_m)</f>
        <v/>
      </c>
      <c r="E125" s="16">
        <f>My_sp/D_22</f>
        <v/>
      </c>
      <c r="F125" s="18">
        <f>Q_*((-nu_*IF("loaded"="loaded",zsgn*f_,-zsgn*f_)*$E$125-(h_calc/2)*nu_*$E$125*(1/lam-1))+nu_*(IF("loaded"="loaded",zsgn*f_,-zsgn*f_)*$E$125-(h_calc/2)*$E$125))</f>
        <v/>
      </c>
      <c r="G125" s="18">
        <f>Q_*((IF("loaded"="loaded",zsgn*f_,-zsgn*f_)*$E$125-(h_calc/2)*$E$125)+nu_*(-nu_*IF("loaded"="loaded",zsgn*f_,-zsgn*f_)*$E$125-(h_calc/2)*nu_*$E$125*(1/lam-1)))</f>
        <v/>
      </c>
      <c r="H125" s="18">
        <f>$D$125+$F$125</f>
        <v/>
      </c>
      <c r="I125" s="18">
        <f>nu_*$D$125+$G$125</f>
        <v/>
      </c>
      <c r="J125" s="19">
        <f>SQRT($H$125^2-$H$125*$I$125+$I$125^2)</f>
        <v/>
      </c>
    </row>
    <row r="126">
      <c r="A126" s="8">
        <f>IF(zsgn&gt;0,"crest","valley")</f>
        <v/>
      </c>
      <c r="B126" s="8" t="inlineStr">
        <is>
          <t>contact (support)</t>
        </is>
      </c>
      <c r="C126" s="8" t="inlineStr">
        <is>
          <t>-z</t>
        </is>
      </c>
      <c r="D126" s="18">
        <f>IF(zsgn&gt;0,sld_m,sld_p)</f>
        <v/>
      </c>
      <c r="E126" s="16">
        <f>My_sp/D_22</f>
        <v/>
      </c>
      <c r="F126" s="18">
        <f>Q_*((-nu_*IF("loaded"="loaded",zsgn*f_,-zsgn*f_)*$E$126-(-h_calc/2)*nu_*$E$126*(1/lam-1))+nu_*(IF("loaded"="loaded",zsgn*f_,-zsgn*f_)*$E$126-(-h_calc/2)*$E$126))</f>
        <v/>
      </c>
      <c r="G126" s="18">
        <f>Q_*((IF("loaded"="loaded",zsgn*f_,-zsgn*f_)*$E$126-(-h_calc/2)*$E$126)+nu_*(-nu_*IF("loaded"="loaded",zsgn*f_,-zsgn*f_)*$E$126-(-h_calc/2)*nu_*$E$126*(1/lam-1)))</f>
        <v/>
      </c>
      <c r="H126" s="18">
        <f>$D$126+$F$126</f>
        <v/>
      </c>
      <c r="I126" s="18">
        <f>nu_*$D$126+$G$126</f>
        <v/>
      </c>
      <c r="J126" s="19">
        <f>SQRT($H$126^2-$H$126*$I$126+$I$126^2)</f>
        <v/>
      </c>
    </row>
    <row r="127">
      <c r="A127" s="8">
        <f>IF(zsgn&gt;0,"crest","valley")</f>
        <v/>
      </c>
      <c r="B127" s="8" t="inlineStr">
        <is>
          <t>mid-span</t>
        </is>
      </c>
      <c r="C127" s="8" t="inlineStr">
        <is>
          <t>+z</t>
        </is>
      </c>
      <c r="D127" s="18">
        <f>IF(zsgn&gt;0,sld_p,sld_m)</f>
        <v/>
      </c>
      <c r="E127" s="16">
        <f>My_md/D_22</f>
        <v/>
      </c>
      <c r="F127" s="18">
        <f>Q_*((-nu_*IF("loaded"="loaded",zsgn*f_,-zsgn*f_)*$E$127-(h_calc/2)*nu_*$E$127*(1/lam-1))+nu_*(IF("loaded"="loaded",zsgn*f_,-zsgn*f_)*$E$127-(h_calc/2)*$E$127))</f>
        <v/>
      </c>
      <c r="G127" s="18">
        <f>Q_*((IF("loaded"="loaded",zsgn*f_,-zsgn*f_)*$E$127-(h_calc/2)*$E$127)+nu_*(-nu_*IF("loaded"="loaded",zsgn*f_,-zsgn*f_)*$E$127-(h_calc/2)*nu_*$E$127*(1/lam-1)))</f>
        <v/>
      </c>
      <c r="H127" s="18">
        <f>$D$127+$F$127</f>
        <v/>
      </c>
      <c r="I127" s="18">
        <f>nu_*$D$127+$G$127</f>
        <v/>
      </c>
      <c r="J127" s="19">
        <f>SQRT($H$127^2-$H$127*$I$127+$I$127^2)</f>
        <v/>
      </c>
    </row>
    <row r="128">
      <c r="A128" s="8">
        <f>IF(zsgn&gt;0,"crest","valley")</f>
        <v/>
      </c>
      <c r="B128" s="8" t="inlineStr">
        <is>
          <t>mid-span</t>
        </is>
      </c>
      <c r="C128" s="8" t="inlineStr">
        <is>
          <t>-z</t>
        </is>
      </c>
      <c r="D128" s="18">
        <f>IF(zsgn&gt;0,sld_m,sld_p)</f>
        <v/>
      </c>
      <c r="E128" s="16">
        <f>My_md/D_22</f>
        <v/>
      </c>
      <c r="F128" s="18">
        <f>Q_*((-nu_*IF("loaded"="loaded",zsgn*f_,-zsgn*f_)*$E$128-(-h_calc/2)*nu_*$E$128*(1/lam-1))+nu_*(IF("loaded"="loaded",zsgn*f_,-zsgn*f_)*$E$128-(-h_calc/2)*$E$128))</f>
        <v/>
      </c>
      <c r="G128" s="18">
        <f>Q_*((IF("loaded"="loaded",zsgn*f_,-zsgn*f_)*$E$128-(-h_calc/2)*$E$128)+nu_*(-nu_*IF("loaded"="loaded",zsgn*f_,-zsgn*f_)*$E$128-(-h_calc/2)*nu_*$E$128*(1/lam-1)))</f>
        <v/>
      </c>
      <c r="H128" s="18">
        <f>$D$128+$F$128</f>
        <v/>
      </c>
      <c r="I128" s="18">
        <f>nu_*$D$128+$G$128</f>
        <v/>
      </c>
      <c r="J128" s="19">
        <f>SQRT($H$128^2-$H$128*$I$128+$I$128^2)</f>
        <v/>
      </c>
    </row>
    <row r="129">
      <c r="A129" s="8">
        <f>IF(zsgn&gt;0,"valley","crest")</f>
        <v/>
      </c>
      <c r="B129" s="8" t="inlineStr">
        <is>
          <t>contact (support)</t>
        </is>
      </c>
      <c r="C129" s="8" t="inlineStr">
        <is>
          <t>+z</t>
        </is>
      </c>
      <c r="D129" s="18">
        <f>IF(zsgn&gt;0,ssp_p,ssp_m)</f>
        <v/>
      </c>
      <c r="E129" s="16">
        <f>My_sp/D_22</f>
        <v/>
      </c>
      <c r="F129" s="18">
        <f>Q_*((-nu_*IF("support"="loaded",zsgn*f_,-zsgn*f_)*$E$129-(h_calc/2)*nu_*$E$129*(1/lam-1))+nu_*(IF("support"="loaded",zsgn*f_,-zsgn*f_)*$E$129-(h_calc/2)*$E$129))</f>
        <v/>
      </c>
      <c r="G129" s="18">
        <f>Q_*((IF("support"="loaded",zsgn*f_,-zsgn*f_)*$E$129-(h_calc/2)*$E$129)+nu_*(-nu_*IF("support"="loaded",zsgn*f_,-zsgn*f_)*$E$129-(h_calc/2)*nu_*$E$129*(1/lam-1)))</f>
        <v/>
      </c>
      <c r="H129" s="18">
        <f>$D$129+$F$129</f>
        <v/>
      </c>
      <c r="I129" s="18">
        <f>nu_*$D$129+$G$129</f>
        <v/>
      </c>
      <c r="J129" s="19">
        <f>SQRT($H$129^2-$H$129*$I$129+$I$129^2)</f>
        <v/>
      </c>
    </row>
    <row r="130">
      <c r="A130" s="8">
        <f>IF(zsgn&gt;0,"valley","crest")</f>
        <v/>
      </c>
      <c r="B130" s="8" t="inlineStr">
        <is>
          <t>contact (support)</t>
        </is>
      </c>
      <c r="C130" s="8" t="inlineStr">
        <is>
          <t>-z</t>
        </is>
      </c>
      <c r="D130" s="18">
        <f>IF(zsgn&gt;0,ssp_m,ssp_p)</f>
        <v/>
      </c>
      <c r="E130" s="16">
        <f>My_sp/D_22</f>
        <v/>
      </c>
      <c r="F130" s="18">
        <f>Q_*((-nu_*IF("support"="loaded",zsgn*f_,-zsgn*f_)*$E$130-(-h_calc/2)*nu_*$E$130*(1/lam-1))+nu_*(IF("support"="loaded",zsgn*f_,-zsgn*f_)*$E$130-(-h_calc/2)*$E$130))</f>
        <v/>
      </c>
      <c r="G130" s="18">
        <f>Q_*((IF("support"="loaded",zsgn*f_,-zsgn*f_)*$E$130-(-h_calc/2)*$E$130)+nu_*(-nu_*IF("support"="loaded",zsgn*f_,-zsgn*f_)*$E$130-(-h_calc/2)*nu_*$E$130*(1/lam-1)))</f>
        <v/>
      </c>
      <c r="H130" s="18">
        <f>$D$130+$F$130</f>
        <v/>
      </c>
      <c r="I130" s="18">
        <f>nu_*$D$130+$G$130</f>
        <v/>
      </c>
      <c r="J130" s="19">
        <f>SQRT($H$130^2-$H$130*$I$130+$I$130^2)</f>
        <v/>
      </c>
    </row>
    <row r="131">
      <c r="A131" s="8">
        <f>IF(zsgn&gt;0,"valley","crest")</f>
        <v/>
      </c>
      <c r="B131" s="8" t="inlineStr">
        <is>
          <t>mid-span</t>
        </is>
      </c>
      <c r="C131" s="8" t="inlineStr">
        <is>
          <t>+z</t>
        </is>
      </c>
      <c r="D131" s="18">
        <f>IF(zsgn&gt;0,ssp_p,ssp_m)</f>
        <v/>
      </c>
      <c r="E131" s="16">
        <f>My_md/D_22</f>
        <v/>
      </c>
      <c r="F131" s="18">
        <f>Q_*((-nu_*IF("support"="loaded",zsgn*f_,-zsgn*f_)*$E$131-(h_calc/2)*nu_*$E$131*(1/lam-1))+nu_*(IF("support"="loaded",zsgn*f_,-zsgn*f_)*$E$131-(h_calc/2)*$E$131))</f>
        <v/>
      </c>
      <c r="G131" s="18">
        <f>Q_*((IF("support"="loaded",zsgn*f_,-zsgn*f_)*$E$131-(h_calc/2)*$E$131)+nu_*(-nu_*IF("support"="loaded",zsgn*f_,-zsgn*f_)*$E$131-(h_calc/2)*nu_*$E$131*(1/lam-1)))</f>
        <v/>
      </c>
      <c r="H131" s="18">
        <f>$D$131+$F$131</f>
        <v/>
      </c>
      <c r="I131" s="18">
        <f>nu_*$D$131+$G$131</f>
        <v/>
      </c>
      <c r="J131" s="19">
        <f>SQRT($H$131^2-$H$131*$I$131+$I$131^2)</f>
        <v/>
      </c>
    </row>
    <row r="132">
      <c r="A132" s="8">
        <f>IF(zsgn&gt;0,"valley","crest")</f>
        <v/>
      </c>
      <c r="B132" s="8" t="inlineStr">
        <is>
          <t>mid-span</t>
        </is>
      </c>
      <c r="C132" s="8" t="inlineStr">
        <is>
          <t>-z</t>
        </is>
      </c>
      <c r="D132" s="18">
        <f>IF(zsgn&gt;0,ssp_m,ssp_p)</f>
        <v/>
      </c>
      <c r="E132" s="16">
        <f>My_md/D_22</f>
        <v/>
      </c>
      <c r="F132" s="18">
        <f>Q_*((-nu_*IF("support"="loaded",zsgn*f_,-zsgn*f_)*$E$132-(-h_calc/2)*nu_*$E$132*(1/lam-1))+nu_*(IF("support"="loaded",zsgn*f_,-zsgn*f_)*$E$132-(-h_calc/2)*$E$132))</f>
        <v/>
      </c>
      <c r="G132" s="18">
        <f>Q_*((IF("support"="loaded",zsgn*f_,-zsgn*f_)*$E$132-(-h_calc/2)*$E$132)+nu_*(-nu_*IF("support"="loaded",zsgn*f_,-zsgn*f_)*$E$132-(-h_calc/2)*nu_*$E$132*(1/lam-1)))</f>
        <v/>
      </c>
      <c r="H132" s="18">
        <f>$D$132+$F$132</f>
        <v/>
      </c>
      <c r="I132" s="18">
        <f>nu_*$D$132+$G$132</f>
        <v/>
      </c>
      <c r="J132" s="19">
        <f>SQRT($H$132^2-$H$132*$I$132+$I$132^2)</f>
        <v/>
      </c>
    </row>
    <row r="134">
      <c r="A134" s="8" t="inlineStr">
        <is>
          <t>최대 von Mises (8점)</t>
        </is>
      </c>
      <c r="B134" s="18">
        <f>MAX($J$125:$J$132)</f>
        <v/>
      </c>
      <c r="C134" s="8" t="inlineStr">
        <is>
          <t>MPa</t>
        </is>
      </c>
      <c r="D134" s="10" t="inlineStr"/>
    </row>
    <row r="135">
      <c r="A135" s="8" t="inlineStr">
        <is>
          <t>최대 위치</t>
        </is>
      </c>
      <c r="B135" s="8">
        <f>INDEX($A$125:$A$132,MATCH(pvm_max,$J$125:$J$132,0))&amp;", "&amp;INDEX($B$125:$B$132,MATCH(pvm_max,$J$125:$J$132,0))&amp;", "&amp;INDEX($C$125:$C$132,MATCH(pvm_max,$J$125:$J$132,0))&amp;" face"</f>
        <v/>
      </c>
      <c r="C135" s="8" t="inlineStr"/>
      <c r="D135" s="10" t="inlineStr"/>
    </row>
    <row r="136">
      <c r="A136" s="8" t="inlineStr">
        <is>
          <t>허용응력 S_allow</t>
        </is>
      </c>
      <c r="B136" s="18">
        <f>IF(ISBLANK(in_Sallow),0,in_Sallow)</f>
        <v/>
      </c>
      <c r="C136" s="8" t="inlineStr">
        <is>
          <t>MPa</t>
        </is>
      </c>
      <c r="D136" s="10" t="inlineStr">
        <is>
          <t>0 이면 판정 생략</t>
        </is>
      </c>
    </row>
    <row r="137">
      <c r="A137" s="8" t="inlineStr">
        <is>
          <t>σ_vM,max / 허용</t>
        </is>
      </c>
      <c r="B137" s="15">
        <f>IF(p_allow&gt;0,pvm_max/p_allow,"-")</f>
        <v/>
      </c>
      <c r="C137" s="8" t="inlineStr"/>
      <c r="D137" s="10" t="inlineStr"/>
    </row>
    <row r="138">
      <c r="A138" s="8" t="inlineStr">
        <is>
          <t>판정</t>
        </is>
      </c>
      <c r="B138" s="8">
        <f>IF(q_p&lt;=0,"ΔP 미입력",IF(p_allow&gt;0,IF(pvm_max&lt;=p_allow,"OK","NG"),"허용응력 미입력"))</f>
        <v/>
      </c>
      <c r="C138" s="8" t="inlineStr"/>
      <c r="D138" s="10" t="inlineStr">
        <is>
          <t>선형 해, apex·테두리·t/R 보정 미포함. 면내 구속 free/fixed 사이가 실제</t>
        </is>
      </c>
    </row>
    <row r="139">
      <c r="A139" s="4" t="inlineStr">
        <is>
          <t>주의: 균질화 등가 판(D11)으로 1 피치 스팬을 풀면 프레임 해를 크게 과소평가한다(docs/12 §4). 이 시트의 프레임 표가 그 대체 계산이다.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60" customWidth="1" min="5" max="5"/>
  </cols>
  <sheetData>
    <row r="1">
      <c r="A1" s="1" t="inlineStr">
        <is>
          <t>파이썬 대조 (docs/example_report/results.json, 가정 기본값 입력에서만 유효)</t>
        </is>
      </c>
    </row>
    <row r="4">
      <c r="A4" s="6" t="inlineStr">
        <is>
          <t>기본값: p=9, H=3.2, t=0.6, R_c=1.5, β=60°, E=193000, ν=0.3, 하중 케이스 plate My=100 (right)</t>
        </is>
      </c>
      <c r="B4" s="6" t="n"/>
      <c r="C4" s="6" t="n"/>
      <c r="D4" s="6" t="n"/>
    </row>
    <row r="5">
      <c r="A5" s="7" t="inlineStr">
        <is>
          <t>항목</t>
        </is>
      </c>
      <c r="B5" s="7" t="inlineStr">
        <is>
          <t>엑셀</t>
        </is>
      </c>
      <c r="C5" s="7" t="inlineStr">
        <is>
          <t>파이썬 (하드코딩 참조값)</t>
        </is>
      </c>
      <c r="D5" s="7" t="inlineStr">
        <is>
          <t>상대오차</t>
        </is>
      </c>
      <c r="E5" s="7" t="inlineStr">
        <is>
          <t>출처</t>
        </is>
      </c>
    </row>
    <row r="6">
      <c r="A6" s="8" t="inlineStr">
        <is>
          <t>α [°]</t>
        </is>
      </c>
      <c r="B6" s="14">
        <f>alpha_deg</f>
        <v/>
      </c>
      <c r="C6" s="20" t="n">
        <v>44.30459982548396</v>
      </c>
      <c r="D6" s="16">
        <f>IF(ABS($C$6)&gt;1E-9,ABS($B$6/$C$6-1),ABS($B$6-$C$6))</f>
        <v/>
      </c>
      <c r="E6" s="10" t="inlineStr">
        <is>
          <t>geometry.arc_tangent</t>
        </is>
      </c>
    </row>
    <row r="7">
      <c r="A7" s="8" t="inlineStr">
        <is>
          <t>T_L</t>
        </is>
      </c>
      <c r="B7" s="14">
        <f>TL</f>
        <v/>
      </c>
      <c r="C7" s="20" t="n">
        <v>3.360059523282288</v>
      </c>
      <c r="D7" s="16">
        <f>IF(ABS($C$7)&gt;1E-9,ABS($B$7/$C$7-1),ABS($B$7-$C$7))</f>
        <v/>
      </c>
      <c r="E7" s="10" t="inlineStr">
        <is>
          <t>〃</t>
        </is>
      </c>
    </row>
    <row r="8">
      <c r="A8" s="8" t="inlineStr">
        <is>
          <t>l</t>
        </is>
      </c>
      <c r="B8" s="14">
        <f>l_</f>
        <v/>
      </c>
      <c r="C8" s="20" t="n">
        <v>5.679842945481889</v>
      </c>
      <c r="D8" s="16">
        <f>IF(ABS($C$8)&gt;1E-9,ABS($B$8/$C$8-1),ABS($B$8-$C$8))</f>
        <v/>
      </c>
      <c r="E8" s="10" t="inlineStr">
        <is>
          <t>〃</t>
        </is>
      </c>
    </row>
    <row r="9">
      <c r="A9" s="8" t="inlineStr">
        <is>
          <t>I1</t>
        </is>
      </c>
      <c r="B9" s="14">
        <f>I_1</f>
        <v/>
      </c>
      <c r="C9" s="20" t="n">
        <v>7.26095527282436</v>
      </c>
      <c r="D9" s="16">
        <f>IF(ABS($C$9)&gt;1E-9,ABS($B$9/$C$9-1),ABS($B$9-$C$9))</f>
        <v/>
      </c>
      <c r="E9" s="10" t="inlineStr">
        <is>
          <t>〃</t>
        </is>
      </c>
    </row>
    <row r="10">
      <c r="A10" s="8" t="inlineStr">
        <is>
          <t>I2</t>
        </is>
      </c>
      <c r="B10" s="14">
        <f>I_2</f>
        <v/>
      </c>
      <c r="C10" s="20" t="n">
        <v>12.98169209139065</v>
      </c>
      <c r="D10" s="16">
        <f>IF(ABS($C$10)&gt;1E-9,ABS($B$10/$C$10-1),ABS($B$10-$C$10))</f>
        <v/>
      </c>
      <c r="E10" s="10" t="inlineStr">
        <is>
          <t>〃</t>
        </is>
      </c>
    </row>
    <row r="11">
      <c r="A11" s="8" t="inlineStr">
        <is>
          <t>A11</t>
        </is>
      </c>
      <c r="B11" s="14">
        <f>A_11</f>
        <v/>
      </c>
      <c r="C11" s="20" t="n">
        <v>2602.991609323923</v>
      </c>
      <c r="D11" s="16">
        <f>IF(ABS($C$11)&gt;1E-9,ABS($B$11/$C$11-1),ABS($B$11-$C$11))</f>
        <v/>
      </c>
      <c r="E11" s="10" t="inlineStr">
        <is>
          <t>stiffness.adopted</t>
        </is>
      </c>
    </row>
    <row r="12">
      <c r="A12" s="8" t="inlineStr">
        <is>
          <t>A22</t>
        </is>
      </c>
      <c r="B12" s="14">
        <f>A_22</f>
        <v/>
      </c>
      <c r="C12" s="20" t="n">
        <v>146395.5610419064</v>
      </c>
      <c r="D12" s="16">
        <f>IF(ABS($C$12)&gt;1E-9,ABS($B$12/$C$12-1),ABS($B$12-$C$12))</f>
        <v/>
      </c>
      <c r="E12" s="10" t="inlineStr">
        <is>
          <t>〃</t>
        </is>
      </c>
    </row>
    <row r="13">
      <c r="A13" s="8" t="inlineStr">
        <is>
          <t>A66</t>
        </is>
      </c>
      <c r="B13" s="14">
        <f>A_66</f>
        <v/>
      </c>
      <c r="C13" s="20" t="n">
        <v>35286.72867310641</v>
      </c>
      <c r="D13" s="16">
        <f>IF(ABS($C$13)&gt;1E-9,ABS($B$13/$C$13-1),ABS($B$13-$C$13))</f>
        <v/>
      </c>
      <c r="E13" s="10" t="inlineStr">
        <is>
          <t>〃</t>
        </is>
      </c>
    </row>
    <row r="14">
      <c r="A14" s="8" t="inlineStr">
        <is>
          <t>D11</t>
        </is>
      </c>
      <c r="B14" s="14">
        <f>D_11</f>
        <v/>
      </c>
      <c r="C14" s="20" t="n">
        <v>3024.57674340912</v>
      </c>
      <c r="D14" s="16">
        <f>IF(ABS($C$14)&gt;1E-9,ABS($B$14/$C$14-1),ABS($B$14-$C$14))</f>
        <v/>
      </c>
      <c r="E14" s="10" t="inlineStr">
        <is>
          <t>〃</t>
        </is>
      </c>
    </row>
    <row r="15">
      <c r="A15" s="8" t="inlineStr">
        <is>
          <t>D22</t>
        </is>
      </c>
      <c r="B15" s="14">
        <f>D_22</f>
        <v/>
      </c>
      <c r="C15" s="20" t="n">
        <v>170106.0455514434</v>
      </c>
      <c r="D15" s="16">
        <f>IF(ABS($C$15)&gt;1E-9,ABS($B$15/$C$15-1),ABS($B$15-$C$15))</f>
        <v/>
      </c>
      <c r="E15" s="10" t="inlineStr">
        <is>
          <t>〃</t>
        </is>
      </c>
    </row>
    <row r="16">
      <c r="A16" s="8" t="inlineStr">
        <is>
          <t>D66</t>
        </is>
      </c>
      <c r="B16" s="14">
        <f>D_66</f>
        <v/>
      </c>
      <c r="C16" s="20" t="n">
        <v>1686.476443812315</v>
      </c>
      <c r="D16" s="16">
        <f>IF(ABS($C$16)&gt;1E-9,ABS($B$16/$C$16-1),ABS($B$16-$C$16))</f>
        <v/>
      </c>
      <c r="E16" s="10" t="inlineStr">
        <is>
          <t>〃</t>
        </is>
      </c>
    </row>
    <row r="17">
      <c r="A17" s="8" t="inlineStr">
        <is>
          <t>t_b</t>
        </is>
      </c>
      <c r="B17" s="14">
        <f>t_b</f>
        <v/>
      </c>
      <c r="C17" s="20" t="n">
        <v>3.734105149360426</v>
      </c>
      <c r="D17" s="16">
        <f>IF(ABS($C$17)&gt;1E-9,ABS($B$17/$C$17-1),ABS($B$17-$C$17))</f>
        <v/>
      </c>
      <c r="E17" s="10" t="inlineStr">
        <is>
          <t>equivalent_plate</t>
        </is>
      </c>
    </row>
    <row r="18">
      <c r="A18" s="8" t="inlineStr">
        <is>
          <t>t_s</t>
        </is>
      </c>
      <c r="B18" s="14">
        <f>t_s</f>
        <v/>
      </c>
      <c r="C18" s="20" t="n">
        <v>0.7573123927309184</v>
      </c>
      <c r="D18" s="16">
        <f>IF(ABS($C$18)&gt;1E-9,ABS($B$18/$C$18-1),ABS($B$18-$C$18))</f>
        <v/>
      </c>
      <c r="E18" s="10" t="inlineStr">
        <is>
          <t>〃</t>
        </is>
      </c>
    </row>
    <row r="19">
      <c r="A19" s="8" t="inlineStr">
        <is>
          <t>A11 우측</t>
        </is>
      </c>
      <c r="B19" s="14">
        <f>A_11_R</f>
        <v/>
      </c>
      <c r="C19" s="20" t="n">
        <v>109268.0731225338</v>
      </c>
      <c r="D19" s="16">
        <f>IF(ABS($C$19)&gt;1E-9,ABS($B$19/$C$19-1),ABS($B$19-$C$19))</f>
        <v/>
      </c>
      <c r="E19" s="10" t="inlineStr">
        <is>
          <t>transform.zone_stiffness</t>
        </is>
      </c>
    </row>
    <row r="20">
      <c r="A20" s="8" t="inlineStr">
        <is>
          <t>A16 우측</t>
        </is>
      </c>
      <c r="B20" s="14">
        <f>A_16_R</f>
        <v/>
      </c>
      <c r="C20" s="20" t="n">
        <v>31812.8999782555</v>
      </c>
      <c r="D20" s="16">
        <f>IF(ABS($C$20)&gt;1E-9,ABS($B$20/$C$20-1),ABS($B$20-$C$20))</f>
        <v/>
      </c>
      <c r="E20" s="10" t="inlineStr">
        <is>
          <t>〃</t>
        </is>
      </c>
    </row>
    <row r="21">
      <c r="A21" s="8" t="inlineStr">
        <is>
          <t>A26 우측</t>
        </is>
      </c>
      <c r="B21" s="14">
        <f>A_26_R</f>
        <v/>
      </c>
      <c r="C21" s="20" t="n">
        <v>30451.10902377159</v>
      </c>
      <c r="D21" s="16">
        <f>IF(ABS($C$21)&gt;1E-9,ABS($B$21/$C$21-1),ABS($B$21-$C$21))</f>
        <v/>
      </c>
      <c r="E21" s="10" t="inlineStr">
        <is>
          <t>〃</t>
        </is>
      </c>
    </row>
    <row r="22">
      <c r="A22" s="8" t="inlineStr">
        <is>
          <t>D12 우측</t>
        </is>
      </c>
      <c r="B22" s="14">
        <f>D_12_R</f>
        <v/>
      </c>
      <c r="C22" s="20" t="n">
        <v>31764.24248681483</v>
      </c>
      <c r="D22" s="16">
        <f>IF(ABS($C$22)&gt;1E-9,ABS($B$22/$C$22-1),ABS($B$22-$C$22))</f>
        <v/>
      </c>
      <c r="E22" s="10" t="inlineStr">
        <is>
          <t>〃</t>
        </is>
      </c>
    </row>
    <row r="23">
      <c r="A23" s="8" t="inlineStr">
        <is>
          <t>D16 우측</t>
        </is>
      </c>
      <c r="B23" s="14">
        <f>D_16_R</f>
        <v/>
      </c>
      <c r="C23" s="20" t="n">
        <v>53989.42101361325</v>
      </c>
      <c r="D23" s="16">
        <f>IF(ABS($C$23)&gt;1E-9,ABS($B$23/$C$23-1),ABS($B$23-$C$23))</f>
        <v/>
      </c>
      <c r="E23" s="10" t="inlineStr">
        <is>
          <t>〃</t>
        </is>
      </c>
    </row>
    <row r="24">
      <c r="A24" s="8" t="inlineStr">
        <is>
          <t>D66 우측</t>
        </is>
      </c>
      <c r="B24" s="14">
        <f>D_66_R</f>
        <v/>
      </c>
      <c r="C24" s="20" t="n">
        <v>32543.34590760442</v>
      </c>
      <c r="D24" s="16">
        <f>IF(ABS($C$24)&gt;1E-9,ABS($B$24/$C$24-1),ABS($B$24-$C$24))</f>
        <v/>
      </c>
      <c r="E24" s="10" t="inlineStr">
        <is>
          <t>〃</t>
        </is>
      </c>
    </row>
    <row r="25">
      <c r="A25" s="8" t="inlineStr">
        <is>
          <t>M_x 국부</t>
        </is>
      </c>
      <c r="B25" s="14">
        <f>Mx</f>
        <v/>
      </c>
      <c r="C25" s="20" t="n">
        <v>74.99999999999999</v>
      </c>
      <c r="D25" s="16">
        <f>IF(ABS($C$25)&gt;1E-9,ABS($B$25/$C$25-1),ABS($B$25-$C$25))</f>
        <v/>
      </c>
      <c r="E25" s="10" t="inlineStr">
        <is>
          <t>resultants_to_local</t>
        </is>
      </c>
    </row>
    <row r="26">
      <c r="A26" s="8" t="inlineStr">
        <is>
          <t>M_xy 국부</t>
        </is>
      </c>
      <c r="B26" s="14">
        <f>Mxy</f>
        <v/>
      </c>
      <c r="C26" s="20" t="n">
        <v>-43.30127018922194</v>
      </c>
      <c r="D26" s="16">
        <f>IF(ABS($C$26)&gt;1E-9,ABS($B$26/$C$26-1),ABS($B$26-$C$26))</f>
        <v/>
      </c>
      <c r="E26" s="10" t="inlineStr">
        <is>
          <t>〃</t>
        </is>
      </c>
    </row>
    <row r="27">
      <c r="A27" s="8" t="inlineStr">
        <is>
          <t>산 +z면 σ_s</t>
        </is>
      </c>
      <c r="B27" s="14">
        <f>Stress!$B$54</f>
        <v/>
      </c>
      <c r="C27" s="20" t="n">
        <v>-1249.999999999999</v>
      </c>
      <c r="D27" s="16">
        <f>IF(ABS($C$27)&gt;1E-9,ABS($B$27/$C$27-1),ABS($B$27-$C$27))</f>
        <v/>
      </c>
      <c r="E27" s="10" t="inlineStr">
        <is>
          <t>ye_recovery (능선)</t>
        </is>
      </c>
    </row>
    <row r="28">
      <c r="A28" s="8" t="inlineStr">
        <is>
          <t>산 −z면 σ_s</t>
        </is>
      </c>
      <c r="B28" s="14">
        <f>Stress!$C$54</f>
        <v/>
      </c>
      <c r="C28" s="20" t="n">
        <v>1249.999999999999</v>
      </c>
      <c r="D28" s="16">
        <f>IF(ABS($C$28)&gt;1E-9,ABS($B$28/$C$28-1),ABS($B$28-$C$28))</f>
        <v/>
      </c>
      <c r="E28" s="10" t="inlineStr">
        <is>
          <t>〃</t>
        </is>
      </c>
    </row>
    <row r="29">
      <c r="A29" s="8" t="inlineStr">
        <is>
          <t>산 +z면 σ_y</t>
        </is>
      </c>
      <c r="B29" s="14">
        <f>Stress!$B$55</f>
        <v/>
      </c>
      <c r="C29" s="20" t="n">
        <v>-371.3067222777472</v>
      </c>
      <c r="D29" s="16">
        <f>IF(ABS($C$29)&gt;1E-9,ABS($B$29/$C$29-1),ABS($B$29-$C$29))</f>
        <v/>
      </c>
      <c r="E29" s="10" t="inlineStr">
        <is>
          <t>〃</t>
        </is>
      </c>
    </row>
    <row r="30">
      <c r="A30" s="8" t="inlineStr">
        <is>
          <t>산 −z면 σ_y</t>
        </is>
      </c>
      <c r="B30" s="14">
        <f>Stress!$C$55</f>
        <v/>
      </c>
      <c r="C30" s="20" t="n">
        <v>380.397865971423</v>
      </c>
      <c r="D30" s="16">
        <f>IF(ABS($C$30)&gt;1E-9,ABS($B$30/$C$30-1),ABS($B$30-$C$30))</f>
        <v/>
      </c>
      <c r="E30" s="10" t="inlineStr">
        <is>
          <t>〃</t>
        </is>
      </c>
    </row>
    <row r="31">
      <c r="A31" s="8" t="inlineStr">
        <is>
          <t>산 +z면 τ</t>
        </is>
      </c>
      <c r="B31" s="14">
        <f>Stress!$B$56</f>
        <v/>
      </c>
      <c r="C31" s="20" t="n">
        <v>-588.871818046812</v>
      </c>
      <c r="D31" s="16">
        <f>IF(ABS($C$31)&gt;1E-9,ABS($B$31/$C$31-1),ABS($B$31-$C$31))</f>
        <v/>
      </c>
      <c r="E31" s="10" t="inlineStr">
        <is>
          <t>〃</t>
        </is>
      </c>
    </row>
    <row r="32">
      <c r="A32" s="8" t="inlineStr">
        <is>
          <t>산 −z면 τ</t>
        </is>
      </c>
      <c r="B32" s="14">
        <f>Stress!$C$56</f>
        <v/>
      </c>
      <c r="C32" s="20" t="n">
        <v>550.8800878502435</v>
      </c>
      <c r="D32" s="16">
        <f>IF(ABS($C$32)&gt;1E-9,ABS($B$32/$C$32-1),ABS($B$32-$C$32))</f>
        <v/>
      </c>
      <c r="E32" s="10" t="inlineStr">
        <is>
          <t>〃</t>
        </is>
      </c>
    </row>
    <row r="33">
      <c r="A33" s="8" t="inlineStr">
        <is>
          <t>최대 von Mises</t>
        </is>
      </c>
      <c r="B33" s="14">
        <f>vm_max</f>
        <v/>
      </c>
      <c r="C33" s="20" t="n">
        <v>1508.822498980822</v>
      </c>
      <c r="D33" s="16">
        <f>IF(ABS($C$33)&gt;1E-9,ABS($B$33/$C$33-1),ABS($B$33-$C$33))</f>
        <v/>
      </c>
      <c r="E33" s="10" t="inlineStr">
        <is>
          <t>파이썬 전 단면 최대 (산·골에서 발생)</t>
        </is>
      </c>
    </row>
    <row r="35">
      <c r="A35" s="8" t="inlineStr">
        <is>
          <t>최대 상대오차</t>
        </is>
      </c>
      <c r="B35" s="16">
        <f>MAX($D$6:$D$33)</f>
        <v/>
      </c>
      <c r="C35" s="8" t="inlineStr"/>
      <c r="D35" s="10" t="inlineStr">
        <is>
          <t>기본값 입력에서 1e-6 이하이면 시트 로직이 파이썬과 일치</t>
        </is>
      </c>
    </row>
    <row r="36">
      <c r="A36" s="8" t="inlineStr">
        <is>
          <t>판정</t>
        </is>
      </c>
      <c r="B36" s="8">
        <f>IF(chk_max&lt;0.000001,"일치","불일치 — 입력이 기본값과 다르거나 시트 수정됨")</f>
        <v/>
      </c>
      <c r="C36" s="8" t="inlineStr"/>
      <c r="D36" s="10" t="inlineStr"/>
    </row>
    <row r="38">
      <c r="A38" s="6" t="inlineStr">
        <is>
          <t>압력차 케이스 (Pressure 시트, 60 분할 vs 파이썬 400 분할 → 허용 2e-3)</t>
        </is>
      </c>
      <c r="B38" s="6" t="n"/>
      <c r="C38" s="6" t="n"/>
      <c r="D38" s="6" t="n"/>
    </row>
    <row r="39">
      <c r="A39" s="7" t="inlineStr">
        <is>
          <t>항목</t>
        </is>
      </c>
      <c r="B39" s="7" t="inlineStr">
        <is>
          <t>엑셀</t>
        </is>
      </c>
      <c r="C39" s="7" t="inlineStr">
        <is>
          <t>파이썬 (하드코딩 참조값)</t>
        </is>
      </c>
      <c r="D39" s="7" t="inlineStr">
        <is>
          <t>상대오차</t>
        </is>
      </c>
      <c r="E39" s="7" t="inlineStr">
        <is>
          <t>출처</t>
        </is>
      </c>
    </row>
    <row r="40">
      <c r="A40" s="8" t="inlineStr">
        <is>
          <t>접촉 간격 a</t>
        </is>
      </c>
      <c r="B40" s="14">
        <f>a_lat</f>
        <v/>
      </c>
      <c r="C40" s="20" t="n">
        <v>10.39230484541326</v>
      </c>
      <c r="D40" s="16">
        <f>IF(ABS($C$40)&gt;1E-9,ABS($B$40/$C$40-1),ABS($B$40-$C$40))</f>
        <v/>
      </c>
      <c r="E40" s="10" t="inlineStr">
        <is>
          <t>pressure_resultants.contact_lattice</t>
        </is>
      </c>
    </row>
    <row r="41">
      <c r="A41" s="8" t="inlineStr">
        <is>
          <t>접촉력 F</t>
        </is>
      </c>
      <c r="B41" s="14">
        <f>F_c</f>
        <v/>
      </c>
      <c r="C41" s="20" t="n">
        <v>93.53074360871936</v>
      </c>
      <c r="D41" s="16">
        <f>IF(ABS($C$41)&gt;1E-9,ABS($B$41/$C$41-1),ABS($B$41-$C$41))</f>
        <v/>
      </c>
      <c r="E41" s="10" t="inlineStr">
        <is>
          <t>〃</t>
        </is>
      </c>
    </row>
    <row r="42">
      <c r="A42" s="8" t="inlineStr">
        <is>
          <t>Hertz p0</t>
        </is>
      </c>
      <c r="B42" s="14">
        <f>p0_h</f>
        <v/>
      </c>
      <c r="C42" s="20" t="n">
        <v>3611.725245981429</v>
      </c>
      <c r="D42" s="16">
        <f>IF(ABS($C$42)&gt;1E-9,ABS($B$42/$C$42-1),ABS($B$42-$C$42))</f>
        <v/>
      </c>
      <c r="E42" s="10" t="inlineStr">
        <is>
          <t>hertz_crossed_cylinders</t>
        </is>
      </c>
    </row>
    <row r="43">
      <c r="A43" s="8" t="inlineStr">
        <is>
          <t>프레임 M 하중 능선</t>
        </is>
      </c>
      <c r="B43" s="14">
        <f>M_ld</f>
        <v/>
      </c>
      <c r="C43" s="20" t="n">
        <v>5.133282799423093</v>
      </c>
      <c r="D43" s="16">
        <f>IF(ABS($C$43)&gt;1E-9,ABS($B$43/$C$43-1),ABS($B$43-$C$43))</f>
        <v/>
      </c>
      <c r="E43" s="10" t="inlineStr">
        <is>
          <t>transverse_frame</t>
        </is>
      </c>
    </row>
    <row r="44">
      <c r="A44" s="8" t="inlineStr">
        <is>
          <t>프레임 M 지지선</t>
        </is>
      </c>
      <c r="B44" s="14">
        <f>M_sp</f>
        <v/>
      </c>
      <c r="C44" s="20" t="n">
        <v>-10.1116804909668</v>
      </c>
      <c r="D44" s="16">
        <f>IF(ABS($C$44)&gt;1E-9,ABS($B$44/$C$44-1),ABS($B$44-$C$44))</f>
        <v/>
      </c>
      <c r="E44" s="10" t="inlineStr">
        <is>
          <t>〃</t>
        </is>
      </c>
    </row>
    <row r="45">
      <c r="A45" s="8" t="inlineStr">
        <is>
          <t>프레임 N 지지선</t>
        </is>
      </c>
      <c r="B45" s="14">
        <f>N_sp</f>
        <v/>
      </c>
      <c r="C45" s="20" t="n">
        <v>3.200012758143631</v>
      </c>
      <c r="D45" s="16">
        <f>IF(ABS($C$45)&gt;1E-9,ABS($B$45/$C$45-1),ABS($B$45-$C$45))</f>
        <v/>
      </c>
      <c r="E45" s="10" t="inlineStr">
        <is>
          <t>〃</t>
        </is>
      </c>
    </row>
    <row r="46">
      <c r="A46" s="8" t="inlineStr">
        <is>
          <t>능선보 M_y 지지</t>
        </is>
      </c>
      <c r="B46" s="14">
        <f>My_sp</f>
        <v/>
      </c>
      <c r="C46" s="20" t="n">
        <v>-8.999999999999998</v>
      </c>
      <c r="D46" s="16">
        <f>IF(ABS($C$46)&gt;1E-9,ABS($B$46/$C$46-1),ABS($B$46-$C$46))</f>
        <v/>
      </c>
      <c r="E46" s="10" t="inlineStr">
        <is>
          <t>ridge_beam_moments</t>
        </is>
      </c>
    </row>
    <row r="47">
      <c r="A47" s="8" t="inlineStr">
        <is>
          <t>최대 von Mises</t>
        </is>
      </c>
      <c r="B47" s="14">
        <f>pvm_max</f>
        <v/>
      </c>
      <c r="C47" s="20" t="n">
        <v>156.6439168161431</v>
      </c>
      <c r="D47" s="16">
        <f>IF(ABS($C$47)&gt;1E-9,ABS($B$47/$C$47-1),ABS($B$47-$C$47))</f>
        <v/>
      </c>
      <c r="E47" s="10" t="inlineStr">
        <is>
          <t>pressure_case (8점)</t>
        </is>
      </c>
    </row>
    <row r="49">
      <c r="A49" s="8" t="inlineStr">
        <is>
          <t>최대 상대오차 (압력)</t>
        </is>
      </c>
      <c r="B49" s="16">
        <f>MAX($D$40:$D$47)</f>
        <v/>
      </c>
      <c r="C49" s="8" t="inlineStr"/>
      <c r="D49" s="10" t="inlineStr">
        <is>
          <t>60 분할 Castigliano 적분의 이산화 오차 포함</t>
        </is>
      </c>
    </row>
    <row r="50">
      <c r="A50" s="8" t="inlineStr">
        <is>
          <t>판정 (압력)</t>
        </is>
      </c>
      <c r="B50" s="8">
        <f>IF(chk_max_p&lt;0.002,"일치","불일치")</f>
        <v/>
      </c>
      <c r="C50" s="8" t="inlineStr"/>
      <c r="D50" s="10" t="inlineStr"/>
    </row>
    <row r="51">
      <c r="A51" s="4" t="inlineStr">
        <is>
          <t>참조값은 calc/plate_model.py 실행 결과(docs/example_report/results.json)를 생성 시점에 복사한 하드코딩 값이다 (파랑).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2026-09-11T02:28:25Z</dcterms:created>
  <dcterms:modified xsi:type="dcterms:W3CDTF">2026-09-11T02:28:25Z</dcterms:modified>
</cp:coreProperties>
</file>