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" sheetId="2" state="visible" r:id="rId2"/>
    <sheet name="Geometry" sheetId="3" state="visible" r:id="rId3"/>
    <sheet name="Stiffness" sheetId="4" state="visible" r:id="rId4"/>
    <sheet name="Rotation" sheetId="5" state="visible" r:id="rId5"/>
    <sheet name="Stress" sheetId="6" state="visible" r:id="rId6"/>
    <sheet name="Check" sheetId="7" state="visible" r:id="rId7"/>
  </sheets>
  <definedNames>
    <definedName name="in_id">'Input'!$B$6</definedName>
    <definedName name="in_p">'Input'!$B$11</definedName>
    <definedName name="in_H">'Input'!$B$12</definedName>
    <definedName name="in_t">'Input'!$B$13</definedName>
    <definedName name="in_mode">'Input'!$B$14</definedName>
    <definedName name="in_Rc">'Input'!$B$15</definedName>
    <definedName name="in_Rv">'Input'!$B$16</definedName>
    <definedName name="in_alpha">'Input'!$B$17</definedName>
    <definedName name="in_dims">'Input'!$B$18</definedName>
    <definedName name="in_pitchref">'Input'!$B$19</definedName>
    <definedName name="in_beta">'Input'!$B$23</definedName>
    <definedName name="in_betaref">'Input'!$B$24</definedName>
    <definedName name="in_E">'Input'!$B$29</definedName>
    <definedName name="in_nu">'Input'!$B$30</definedName>
    <definedName name="in_rho">'Input'!$B$31</definedName>
    <definedName name="in_tmin">'Input'!$B$32</definedName>
    <definedName name="in_CA">'Input'!$B$33</definedName>
    <definedName name="in_Sallow">'Input'!$B$34</definedName>
    <definedName name="lc_name">'Input'!$B$38</definedName>
    <definedName name="lc_axes">'Input'!$B$39</definedName>
    <definedName name="lc_zone">'Input'!$B$40</definedName>
    <definedName name="lc_Nx">'Input'!$B$41</definedName>
    <definedName name="lc_Ny">'Input'!$B$42</definedName>
    <definedName name="lc_Nxy">'Input'!$B$43</definedName>
    <definedName name="lc_Mx">'Input'!$B$44</definedName>
    <definedName name="lc_My">'Input'!$B$45</definedName>
    <definedName name="lc_Mxy">'Input'!$B$46</definedName>
    <definedName name="lc_allow">'Input'!$B$47</definedName>
    <definedName name="beta_deg">'Geometry'!$B$6</definedName>
    <definedName name="beta">'Geometry'!$B$7</definedName>
    <definedName name="p_">'Geometry'!$B$8</definedName>
    <definedName name="H_mid">'Geometry'!$B$9</definedName>
    <definedName name="h_calc">'Geometry'!$B$10</definedName>
    <definedName name="c_">'Geometry'!$B$11</definedName>
    <definedName name="f_">'Geometry'!$B$12</definedName>
    <definedName name="Rc_in">'Geometry'!$B$16</definedName>
    <definedName name="Rv_in">'Geometry'!$B$17</definedName>
    <definedName name="Rs">'Geometry'!$B$18</definedName>
    <definedName name="a_hi">'Geometry'!$B$19</definedName>
    <definedName name="alpha_A">'Geometry'!$B$44</definedName>
    <definedName name="resid_A">'Geometry'!$B$45</definedName>
    <definedName name="alpha_B">'Geometry'!$B$46</definedName>
    <definedName name="R_B">'Geometry'!$B$47</definedName>
    <definedName name="alpha">'Geometry'!$B$48</definedName>
    <definedName name="alpha_deg">'Geometry'!$B$49</definedName>
    <definedName name="Rc">'Geometry'!$B$50</definedName>
    <definedName name="Rv">'Geometry'!$B$51</definedName>
    <definedName name="TL">'Geometry'!$B$52</definedName>
    <definedName name="Rmin">'Geometry'!$B$53</definedName>
    <definedName name="chk_geom">'Geometry'!$B$54</definedName>
    <definedName name="l_">'Geometry'!$B$58</definedName>
    <definedName name="lam">'Geometry'!$B$59</definedName>
    <definedName name="q_int">'Geometry'!$B$60</definedName>
    <definedName name="I_1">'Geometry'!$B$61</definedName>
    <definedName name="a_c">'Geometry'!$B$62</definedName>
    <definedName name="a_v">'Geometry'!$B$63</definedName>
    <definedName name="z_1">'Geometry'!$B$64</definedName>
    <definedName name="z_2">'Geometry'!$B$65</definedName>
    <definedName name="I_2c">'Geometry'!$B$66</definedName>
    <definedName name="I_2v">'Geometry'!$B$67</definedName>
    <definedName name="I_2f">'Geometry'!$B$68</definedName>
    <definedName name="I_2">'Geometry'!$B$69</definedName>
    <definedName name="J_1">'Geometry'!$B$70</definedName>
    <definedName name="J_2">'Geometry'!$B$71</definedName>
    <definedName name="A_u">'Geometry'!$B$72</definedName>
    <definedName name="I_u">'Geometry'!$B$73</definedName>
    <definedName name="W_u">'Geometry'!$B$74</definedName>
    <definedName name="Hp">'Geometry'!$B$78</definedName>
    <definedName name="tp">'Geometry'!$B$79</definedName>
    <definedName name="tR">'Geometry'!$B$80</definedName>
    <definedName name="warn1">'Geometry'!$B$81</definedName>
    <definedName name="warn2">'Geometry'!$B$82</definedName>
    <definedName name="warn3">'Geometry'!$B$83</definedName>
    <definedName name="warn4">'Geometry'!$B$84</definedName>
    <definedName name="E_">'Stiffness'!$B$6</definedName>
    <definedName name="nu_">'Stiffness'!$B$7</definedName>
    <definedName name="G_">'Stiffness'!$B$8</definedName>
    <definedName name="Q_">'Stiffness'!$B$9</definedName>
    <definedName name="A_11">'Stiffness'!$B$13</definedName>
    <definedName name="A_12">'Stiffness'!$B$14</definedName>
    <definedName name="A_22">'Stiffness'!$B$15</definedName>
    <definedName name="A_66">'Stiffness'!$B$16</definedName>
    <definedName name="D_11">'Stiffness'!$B$17</definedName>
    <definedName name="D_12">'Stiffness'!$B$18</definedName>
    <definedName name="D_22">'Stiffness'!$B$19</definedName>
    <definedName name="D_66">'Stiffness'!$B$20</definedName>
    <definedName name="t_b">'Stiffness'!$B$35</definedName>
    <definedName name="t_b22">'Stiffness'!$B$36</definedName>
    <definedName name="t_s">'Stiffness'!$B$37</definedName>
    <definedName name="t_m">'Stiffness'!$B$38</definedName>
    <definedName name="Ex_h">'Stiffness'!$B$42</definedName>
    <definedName name="Ey_h">'Stiffness'!$B$43</definedName>
    <definedName name="nuxy_h">'Stiffness'!$B$44</definedName>
    <definedName name="GA_h">'Stiffness'!$B$45</definedName>
    <definedName name="GD_h">'Stiffness'!$B$47</definedName>
    <definedName name="Kt">'Stiffness'!$B$52</definedName>
    <definedName name="th_R">'Rotation'!$B$6</definedName>
    <definedName name="th_L">'Rotation'!$B$7</definedName>
    <definedName name="A_11_R">'Rotation'!$B$12</definedName>
    <definedName name="A_11_L">'Rotation'!$C$12</definedName>
    <definedName name="A_22_R">'Rotation'!$B$13</definedName>
    <definedName name="A_22_L">'Rotation'!$C$13</definedName>
    <definedName name="A_12_R">'Rotation'!$B$14</definedName>
    <definedName name="A_12_L">'Rotation'!$C$14</definedName>
    <definedName name="A_66_R">'Rotation'!$B$15</definedName>
    <definedName name="A_66_L">'Rotation'!$C$15</definedName>
    <definedName name="A_16_R">'Rotation'!$B$16</definedName>
    <definedName name="A_16_L">'Rotation'!$C$16</definedName>
    <definedName name="A_26_R">'Rotation'!$B$17</definedName>
    <definedName name="A_26_L">'Rotation'!$C$17</definedName>
    <definedName name="D_11_R">'Rotation'!$B$18</definedName>
    <definedName name="D_11_L">'Rotation'!$C$18</definedName>
    <definedName name="D_22_R">'Rotation'!$B$19</definedName>
    <definedName name="D_22_L">'Rotation'!$C$19</definedName>
    <definedName name="D_12_R">'Rotation'!$B$20</definedName>
    <definedName name="D_12_L">'Rotation'!$C$20</definedName>
    <definedName name="D_66_R">'Rotation'!$B$21</definedName>
    <definedName name="D_66_L">'Rotation'!$C$21</definedName>
    <definedName name="D_16_R">'Rotation'!$B$22</definedName>
    <definedName name="D_16_L">'Rotation'!$C$22</definedName>
    <definedName name="D_26_R">'Rotation'!$B$23</definedName>
    <definedName name="D_26_L">'Rotation'!$C$23</definedName>
    <definedName name="E_ts">'Rotation'!$B$27</definedName>
    <definedName name="dens_a">'Rotation'!$B$28</definedName>
    <definedName name="th_lc">'Stress'!$B$6</definedName>
    <definedName name="mm_">'Stress'!$B$7</definedName>
    <definedName name="nn_">'Stress'!$B$8</definedName>
    <definedName name="Nx">'Stress'!$B$9</definedName>
    <definedName name="Ny">'Stress'!$B$10</definedName>
    <definedName name="Nxy">'Stress'!$B$11</definedName>
    <definedName name="Mx">'Stress'!$B$12</definedName>
    <definedName name="My">'Stress'!$B$13</definedName>
    <definedName name="Mxy">'Stress'!$B$14</definedName>
    <definedName name="detA">'Stress'!$B$18</definedName>
    <definedName name="exx">'Stress'!$B$19</definedName>
    <definedName name="eyy">'Stress'!$B$20</definedName>
    <definedName name="gxy">'Stress'!$B$21</definedName>
    <definedName name="detD">'Stress'!$B$22</definedName>
    <definedName name="kxx">'Stress'!$B$23</definedName>
    <definedName name="kyy">'Stress'!$B$24</definedName>
    <definedName name="kxy">'Stress'!$B$25</definedName>
    <definedName name="CC">'Stress'!$B$29</definedName>
    <definedName name="c_1">'Stress'!$B$30</definedName>
    <definedName name="c_4">'Stress'!$B$31</definedName>
    <definedName name="ch_c">'Stress'!$B$32</definedName>
    <definedName name="ch_v">'Stress'!$B$33</definedName>
    <definedName name="inva1">'Stress'!$B$34</definedName>
    <definedName name="alpha1">'Stress'!$B$35</definedName>
    <definedName name="c_2">'Stress'!$B$36</definedName>
    <definedName name="eps_s_c">'Stress'!$B$41</definedName>
    <definedName name="eps_s_v">'Stress'!$C$41</definedName>
    <definedName name="eps_y_c">'Stress'!$B$42</definedName>
    <definedName name="eps_y_v">'Stress'!$C$42</definedName>
    <definedName name="gam_sy_c">'Stress'!$B$43</definedName>
    <definedName name="gam_sy_v">'Stress'!$C$43</definedName>
    <definedName name="kap_s_c">'Stress'!$B$44</definedName>
    <definedName name="kap_s_v">'Stress'!$C$44</definedName>
    <definedName name="kap_y_c">'Stress'!$B$45</definedName>
    <definedName name="kap_y_v">'Stress'!$C$45</definedName>
    <definedName name="kap_sy2_c">'Stress'!$B$46</definedName>
    <definedName name="kap_sy2_v">'Stress'!$C$46</definedName>
    <definedName name="vm_max">'Stress'!$B$61</definedName>
    <definedName name="vm_where">'Stress'!$B$62</definedName>
    <definedName name="Ns_c">'Stress'!$B$63</definedName>
    <definedName name="Ny_c">'Stress'!$B$64</definedName>
    <definedName name="Ms_c">'Stress'!$B$65</definedName>
    <definedName name="My_c">'Stress'!$B$66</definedName>
    <definedName name="vm_mem">'Stress'!$B$67</definedName>
    <definedName name="allow_">'Stress'!$B$68</definedName>
    <definedName name="ratio_">'Stress'!$B$69</definedName>
    <definedName name="verdict">'Stress'!$B$70</definedName>
    <definedName name="chk_max">'Check'!$B$35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#,##0.0"/>
    <numFmt numFmtId="166" formatCode="0.0000E+0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FF"/>
      <sz val="10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9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3" fillId="0" borderId="1" pivotButton="0" quotePrefix="0" xfId="0"/>
    <xf numFmtId="0" fontId="2" fillId="0" borderId="1" pivotButton="0" quotePrefix="0" xfId="0"/>
    <xf numFmtId="0" fontId="6" fillId="3" borderId="1" pivotButton="0" quotePrefix="0" xfId="0"/>
    <xf numFmtId="0" fontId="4" fillId="0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6" fontId="6" fillId="3" borderId="1" pivotButton="0" quotePrefix="0" xfId="0"/>
    <xf numFmtId="0" fontId="7" fillId="0" borderId="1" pivotButton="0" quotePrefix="0" xfId="0"/>
    <xf numFmtId="164" fontId="2" fillId="0" borderId="1" pivotButton="0" quotePrefix="0" xfId="0"/>
    <xf numFmtId="166" fontId="2" fillId="0" borderId="1" pivotButton="0" quotePrefix="0" xfId="0"/>
    <xf numFmtId="0" fontId="2" fillId="4" borderId="1" pivotButton="0" quotePrefix="0" xfId="0"/>
    <xf numFmtId="165" fontId="2" fillId="0" borderId="1" pivotButton="0" quotePrefix="0" xfId="0"/>
    <xf numFmtId="165" fontId="2" fillId="5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SPHX_EQV — 쉐브론 전열판 등가 판 계산 시트 (C-2)</t>
        </is>
      </c>
    </row>
    <row r="2">
      <c r="A2" s="2" t="inlineStr"/>
    </row>
    <row r="3">
      <c r="A3" s="2" t="inlineStr">
        <is>
          <t>목적: 원호+접선 주름 단면의 치수와 재료를 입력하면 등가 직교이방성 판 강성(채택식), 등가 두께, ±β 영역 강성, ANSYS 절 입력 문자열,</t>
        </is>
      </c>
    </row>
    <row r="4">
      <c r="A4" s="2" t="inlineStr">
        <is>
          <t xml:space="preserve">      하중 케이스에 대한 능선(산·골) 응력과 허용응력 판정을 수식으로 계산한다. 파이썬 모듈 calc/plate_model.py 와 같은 로직이다.</t>
        </is>
      </c>
    </row>
    <row r="5">
      <c r="A5" s="2" t="inlineStr"/>
    </row>
    <row r="6">
      <c r="A6" s="3" t="inlineStr">
        <is>
          <t>사용법</t>
        </is>
      </c>
    </row>
    <row r="7">
      <c r="A7" s="2" t="inlineStr">
        <is>
          <t xml:space="preserve">  1. 'Input' 시트의 노란 셀(파란 글씨)만 채운다. 나머지 시트는 전부 수식이다 (검정 = 수식, 녹색 = 다른 시트 참조).</t>
        </is>
      </c>
    </row>
    <row r="8">
      <c r="A8" s="2" t="inlineStr">
        <is>
          <t xml:space="preserve">  2. 단면 입력 모드: A = R_c(,R_v) 입력 → 플랭크 각 α 를 Newton 반복으로 계산 / B = α 입력, R_c=R_v 계산.</t>
        </is>
      </c>
    </row>
    <row r="9">
      <c r="A9" s="2" t="inlineStr">
        <is>
          <t xml:space="preserve">  3. 'Geometry' 상단 경고 행과 'Check' 시트(파이썬 대조)를 확인한다. Check 의 오차는 기본값 입력에서만 의미가 있다.</t>
        </is>
      </c>
    </row>
    <row r="10">
      <c r="A10" s="2" t="inlineStr">
        <is>
          <t xml:space="preserve">  4. 'Rotation' 시트 하단의 SSPA/SSPD/SSPE/SSPM 문자열을 ANSYS 입력파일에 복사한다 (비틀림 규약은 E-1 확인 전까지 'verify').</t>
        </is>
      </c>
    </row>
    <row r="11">
      <c r="A11" s="2" t="inlineStr">
        <is>
          <t xml:space="preserve">  5. 'Stress' 시트에 판축 또는 국부축 합력을 넣으면 산·골 4개 표면점의 응력과 최대 von Mises, 허용응력 비가 나온다.</t>
        </is>
      </c>
    </row>
    <row r="12">
      <c r="A12" s="2" t="inlineStr"/>
    </row>
    <row r="13">
      <c r="A13" s="3" t="inlineStr">
        <is>
          <t>범위·한계</t>
        </is>
      </c>
    </row>
    <row r="14">
      <c r="A14" s="2" t="inlineStr">
        <is>
          <t xml:space="preserve">  - 단면은 원호+접선(arc_tangent)만. 사인형/사다리꼴/반원 단면은 파이썬 모듈 사용.</t>
        </is>
      </c>
    </row>
    <row r="15">
      <c r="A15" s="2" t="inlineStr">
        <is>
          <t xml:space="preserve">  - 응력은 산(crest)·골(valley) 위치만 복원한다. 6개 단위 하중 모두에서 최대 응력이 산 또는 골에 생기지만, 플랭크 분포는 파이썬 전용.</t>
        </is>
      </c>
    </row>
    <row r="16">
      <c r="A16" s="2" t="inlineStr">
        <is>
          <t xml:space="preserve">  - 판 본체(주기 영역) 전용. apex·테두리·포트 보정계수, t/R_min&gt;0.2 보정, 좌굴·접촉은 범위 밖 (docs/08, 09).</t>
        </is>
      </c>
    </row>
    <row r="17">
      <c r="A17" s="2" t="inlineStr">
        <is>
          <t xml:space="preserve">  - 판축 합력(N, M)은 사용자가 별도 산정(폐형식 또는 등가 판 FE)하여 입력한다.</t>
        </is>
      </c>
    </row>
    <row r="18">
      <c r="A18" s="2" t="inlineStr"/>
    </row>
    <row r="19">
      <c r="A19" s="2" t="inlineStr">
        <is>
          <t>근거 문서: docs/05 (형상 정의), 06 (채택식 = Ye 2014 Eq. 19), 07 (β 회전), 09 (등가 두께·GENS·VAM 복원), 10 (계산 모듈).</t>
        </is>
      </c>
    </row>
    <row r="20">
      <c r="A20" s="2" t="inlineStr">
        <is>
          <t>단위: mm, N, MPa, N/mm (A, N), N·mm/mm (D, M), tonne/mm³ (ρ). 각도 입력은 도(°), 내부 계산은 rad.</t>
        </is>
      </c>
    </row>
    <row r="21">
      <c r="A21" s="2" t="inlineStr">
        <is>
          <t>기호: c=p/2, f=H/2, h=t_calc, λ=l/c, J1=I1/(2c), J2=I2/(2c). 국부축 x ⊥ 능선, y ∥ 능선. N=A·{εx,εy,γxy}, M=D·{κx,κy,2κxy}.</t>
        </is>
      </c>
    </row>
    <row r="22">
      <c r="A22" s="4" t="inlineStr">
        <is>
          <t>생성: calc/make_excel_sheet.py (재생성 시 이 파일을 덮어쓴다 — 수정은 생성기에서).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90" customWidth="1" min="4" max="4"/>
  </cols>
  <sheetData>
    <row r="1">
      <c r="A1" s="1" t="inlineStr">
        <is>
          <t>입력 (노란 셀만 편집)</t>
        </is>
      </c>
    </row>
    <row r="4">
      <c r="A4" s="5" t="inlineStr">
        <is>
          <t>판 식별</t>
        </is>
      </c>
      <c r="B4" s="5" t="n"/>
      <c r="C4" s="5" t="n"/>
      <c r="D4" s="5" t="n"/>
    </row>
    <row r="5">
      <c r="A5" s="6" t="inlineStr">
        <is>
          <t>항목</t>
        </is>
      </c>
      <c r="B5" s="6" t="inlineStr">
        <is>
          <t>값</t>
        </is>
      </c>
      <c r="C5" s="6" t="inlineStr">
        <is>
          <t>단위</t>
        </is>
      </c>
      <c r="D5" s="6" t="inlineStr">
        <is>
          <t>비고 / 수식 근거</t>
        </is>
      </c>
    </row>
    <row r="6">
      <c r="A6" s="7" t="inlineStr">
        <is>
          <t>판 식별자</t>
        </is>
      </c>
      <c r="B6" s="8" t="inlineStr">
        <is>
          <t>SPHX-example</t>
        </is>
      </c>
      <c r="C6" s="7" t="inlineStr"/>
      <c r="D6" s="9" t="inlineStr">
        <is>
          <t>도면 번호 등</t>
        </is>
      </c>
    </row>
    <row r="7">
      <c r="A7" s="7" t="inlineStr">
        <is>
          <t>값 출처</t>
        </is>
      </c>
      <c r="B7" s="8" t="inlineStr">
        <is>
          <t>assumed defaults (docs/05 §5)</t>
        </is>
      </c>
      <c r="C7" s="7" t="inlineStr"/>
      <c r="D7" s="9" t="inlineStr">
        <is>
          <t>예시값은 05 §5 가정 기본값 — 실제 도면값으로 교체</t>
        </is>
      </c>
    </row>
    <row r="9">
      <c r="A9" s="5" t="inlineStr">
        <is>
          <t>단면 (docs/05 §2.1, 중앙면 기준)</t>
        </is>
      </c>
      <c r="B9" s="5" t="n"/>
      <c r="C9" s="5" t="n"/>
      <c r="D9" s="5" t="n"/>
    </row>
    <row r="10">
      <c r="A10" s="6" t="inlineStr">
        <is>
          <t>항목</t>
        </is>
      </c>
      <c r="B10" s="6" t="inlineStr">
        <is>
          <t>값</t>
        </is>
      </c>
      <c r="C10" s="6" t="inlineStr">
        <is>
          <t>단위</t>
        </is>
      </c>
      <c r="D10" s="6" t="inlineStr">
        <is>
          <t>비고 / 수식 근거</t>
        </is>
      </c>
    </row>
    <row r="11">
      <c r="A11" s="7" t="inlineStr">
        <is>
          <t>피치 p</t>
        </is>
      </c>
      <c r="B11" s="10" t="n">
        <v>9</v>
      </c>
      <c r="C11" s="7" t="inlineStr">
        <is>
          <t>mm</t>
        </is>
      </c>
      <c r="D11" s="9" t="inlineStr">
        <is>
          <t>능선 수직 산-산 거리 (pitch_reference 에 따라 환산)</t>
        </is>
      </c>
    </row>
    <row r="12">
      <c r="A12" s="7" t="inlineStr">
        <is>
          <t>깊이 H</t>
        </is>
      </c>
      <c r="B12" s="10" t="n">
        <v>3.2</v>
      </c>
      <c r="C12" s="7" t="inlineStr">
        <is>
          <t>mm</t>
        </is>
      </c>
      <c r="D12" s="9" t="inlineStr">
        <is>
          <t>산-골 높이차 (dims_reference 에 따라 환산)</t>
        </is>
      </c>
    </row>
    <row r="13">
      <c r="A13" s="7" t="inlineStr">
        <is>
          <t>공칭 두께 t</t>
        </is>
      </c>
      <c r="B13" s="10" t="n">
        <v>0.6</v>
      </c>
      <c r="C13" s="7" t="inlineStr">
        <is>
          <t>mm</t>
        </is>
      </c>
      <c r="D13" s="9" t="inlineStr"/>
    </row>
    <row r="14">
      <c r="A14" s="7" t="inlineStr">
        <is>
          <t>단면 입력 모드</t>
        </is>
      </c>
      <c r="B14" s="8" t="inlineStr">
        <is>
          <t>A</t>
        </is>
      </c>
      <c r="C14" s="7" t="inlineStr"/>
      <c r="D14" s="9" t="inlineStr">
        <is>
          <t>A: R_c(,R_v) 입력 → α 계산 | B: α 입력 → R_c=R_v 계산</t>
        </is>
      </c>
    </row>
    <row r="15">
      <c r="A15" s="7" t="inlineStr">
        <is>
          <t>산 원호 반경 R_c</t>
        </is>
      </c>
      <c r="B15" s="10" t="n">
        <v>1.5</v>
      </c>
      <c r="C15" s="7" t="inlineStr">
        <is>
          <t>mm</t>
        </is>
      </c>
      <c r="D15" s="9" t="inlineStr">
        <is>
          <t>모드 A. 외면 반경으로 측정했으면 R_o − t/2 로 환산해 기입</t>
        </is>
      </c>
    </row>
    <row r="16">
      <c r="A16" s="7" t="inlineStr">
        <is>
          <t>골 원호 반경 R_v</t>
        </is>
      </c>
      <c r="B16" s="10" t="n"/>
      <c r="C16" s="7" t="inlineStr">
        <is>
          <t>mm</t>
        </is>
      </c>
      <c r="D16" s="9" t="inlineStr">
        <is>
          <t>모드 A. 비우면 R_c 와 같게 처리</t>
        </is>
      </c>
    </row>
    <row r="17">
      <c r="A17" s="7" t="inlineStr">
        <is>
          <t>플랭크 각 α (입력)</t>
        </is>
      </c>
      <c r="B17" s="10" t="n"/>
      <c r="C17" s="7" t="inlineStr">
        <is>
          <t>°</t>
        </is>
      </c>
      <c r="D17" s="9" t="inlineStr">
        <is>
          <t>모드 B 전용</t>
        </is>
      </c>
    </row>
    <row r="18">
      <c r="A18" s="7" t="inlineStr">
        <is>
          <t>치수 기준 dims_reference</t>
        </is>
      </c>
      <c r="B18" s="8" t="inlineStr">
        <is>
          <t>mid</t>
        </is>
      </c>
      <c r="C18" s="7" t="inlineStr"/>
      <c r="D18" s="9" t="inlineStr">
        <is>
          <t>mid: 중앙면 | outer: 외면 (H = H_in − t 로 환산)</t>
        </is>
      </c>
    </row>
    <row r="19">
      <c r="A19" s="7" t="inlineStr">
        <is>
          <t>피치 기준 pitch_reference</t>
        </is>
      </c>
      <c r="B19" s="8" t="inlineStr">
        <is>
          <t>normal</t>
        </is>
      </c>
      <c r="C19" s="7" t="inlineStr"/>
      <c r="D19" s="9" t="inlineStr">
        <is>
          <t>normal: 능선 수직 | axis: x_p 방향 측정 (p = p_in·cosβ)</t>
        </is>
      </c>
    </row>
    <row r="21">
      <c r="A21" s="5" t="inlineStr">
        <is>
          <t>쉐브론 (docs/05 §2.2)</t>
        </is>
      </c>
      <c r="B21" s="5" t="n"/>
      <c r="C21" s="5" t="n"/>
      <c r="D21" s="5" t="n"/>
    </row>
    <row r="22">
      <c r="A22" s="6" t="inlineStr">
        <is>
          <t>항목</t>
        </is>
      </c>
      <c r="B22" s="6" t="inlineStr">
        <is>
          <t>값</t>
        </is>
      </c>
      <c r="C22" s="6" t="inlineStr">
        <is>
          <t>단위</t>
        </is>
      </c>
      <c r="D22" s="6" t="inlineStr">
        <is>
          <t>비고 / 수식 근거</t>
        </is>
      </c>
    </row>
    <row r="23">
      <c r="A23" s="7" t="inlineStr">
        <is>
          <t>쉐브론 각 β (입력)</t>
        </is>
      </c>
      <c r="B23" s="10" t="n">
        <v>60</v>
      </c>
      <c r="C23" s="7" t="inlineStr">
        <is>
          <t>°</t>
        </is>
      </c>
      <c r="D23" s="9" t="inlineStr"/>
    </row>
    <row r="24">
      <c r="A24" s="7" t="inlineStr">
        <is>
          <t>β 기준 beta_reference</t>
        </is>
      </c>
      <c r="B24" s="8" t="inlineStr">
        <is>
          <t>flow</t>
        </is>
      </c>
      <c r="C24" s="7" t="inlineStr"/>
      <c r="D24" s="9" t="inlineStr">
        <is>
          <t>flow: 유동축 기준 | horizontal: 수평 기준 (β = 90 − 입력)</t>
        </is>
      </c>
    </row>
    <row r="26">
      <c r="A26" s="5" t="inlineStr">
        <is>
          <t>재료 (docs/05 §2.5)</t>
        </is>
      </c>
      <c r="B26" s="5" t="n"/>
      <c r="C26" s="5" t="n"/>
      <c r="D26" s="5" t="n"/>
    </row>
    <row r="27">
      <c r="A27" s="6" t="inlineStr">
        <is>
          <t>항목</t>
        </is>
      </c>
      <c r="B27" s="6" t="inlineStr">
        <is>
          <t>값</t>
        </is>
      </c>
      <c r="C27" s="6" t="inlineStr">
        <is>
          <t>단위</t>
        </is>
      </c>
      <c r="D27" s="6" t="inlineStr">
        <is>
          <t>비고 / 수식 근거</t>
        </is>
      </c>
    </row>
    <row r="28">
      <c r="A28" s="7" t="inlineStr">
        <is>
          <t>재질</t>
        </is>
      </c>
      <c r="B28" s="8" t="inlineStr">
        <is>
          <t>SA-240 316L</t>
        </is>
      </c>
      <c r="C28" s="7" t="inlineStr"/>
      <c r="D28" s="9" t="inlineStr"/>
    </row>
    <row r="29">
      <c r="A29" s="7" t="inlineStr">
        <is>
          <t>탄성계수 E</t>
        </is>
      </c>
      <c r="B29" s="11" t="n">
        <v>193000</v>
      </c>
      <c r="C29" s="7" t="inlineStr">
        <is>
          <t>MPa</t>
        </is>
      </c>
      <c r="D29" s="9" t="inlineStr">
        <is>
          <t>설계온도 값 사용</t>
        </is>
      </c>
    </row>
    <row r="30">
      <c r="A30" s="7" t="inlineStr">
        <is>
          <t>포아송비 ν</t>
        </is>
      </c>
      <c r="B30" s="10" t="n">
        <v>0.3</v>
      </c>
      <c r="C30" s="7" t="inlineStr"/>
      <c r="D30" s="9" t="inlineStr"/>
    </row>
    <row r="31">
      <c r="A31" s="7" t="inlineStr">
        <is>
          <t>밀도 ρ</t>
        </is>
      </c>
      <c r="B31" s="12" t="n">
        <v>7.9e-09</v>
      </c>
      <c r="C31" s="7" t="inlineStr">
        <is>
          <t>tonne/mm³</t>
        </is>
      </c>
      <c r="D31" s="9" t="inlineStr">
        <is>
          <t>SSPM 입력용</t>
        </is>
      </c>
    </row>
    <row r="32">
      <c r="A32" s="7" t="inlineStr">
        <is>
          <t>성형 후 최소 두께 t_min</t>
        </is>
      </c>
      <c r="B32" s="10" t="n"/>
      <c r="C32" s="7" t="inlineStr">
        <is>
          <t>mm</t>
        </is>
      </c>
      <c r="D32" s="9" t="inlineStr">
        <is>
          <t>비우면 공칭 t 사용 (경고 표시)</t>
        </is>
      </c>
    </row>
    <row r="33">
      <c r="A33" s="7" t="inlineStr">
        <is>
          <t>부식 여유 CA</t>
        </is>
      </c>
      <c r="B33" s="10" t="n">
        <v>0</v>
      </c>
      <c r="C33" s="7" t="inlineStr">
        <is>
          <t>mm</t>
        </is>
      </c>
      <c r="D33" s="9" t="inlineStr"/>
    </row>
    <row r="34">
      <c r="A34" s="7" t="inlineStr">
        <is>
          <t>허용응력 S_allow</t>
        </is>
      </c>
      <c r="B34" s="11" t="n"/>
      <c r="C34" s="7" t="inlineStr">
        <is>
          <t>MPa</t>
        </is>
      </c>
      <c r="D34" s="9" t="inlineStr">
        <is>
          <t>설계코드·온도 기준. 비우면 판정 생략</t>
        </is>
      </c>
    </row>
    <row r="36">
      <c r="A36" s="5" t="inlineStr">
        <is>
          <t>하중 케이스 (docs/10 §2.2) — 합력은 별도 산정값</t>
        </is>
      </c>
      <c r="B36" s="5" t="n"/>
      <c r="C36" s="5" t="n"/>
      <c r="D36" s="5" t="n"/>
    </row>
    <row r="37">
      <c r="A37" s="6" t="inlineStr">
        <is>
          <t>항목</t>
        </is>
      </c>
      <c r="B37" s="6" t="inlineStr">
        <is>
          <t>값</t>
        </is>
      </c>
      <c r="C37" s="6" t="inlineStr">
        <is>
          <t>단위</t>
        </is>
      </c>
      <c r="D37" s="6" t="inlineStr">
        <is>
          <t>비고 / 수식 근거</t>
        </is>
      </c>
    </row>
    <row r="38">
      <c r="A38" s="7" t="inlineStr">
        <is>
          <t>케이스 이름</t>
        </is>
      </c>
      <c r="B38" s="8" t="inlineStr">
        <is>
          <t>plate-axis My (right zone)</t>
        </is>
      </c>
      <c r="C38" s="7" t="inlineStr"/>
      <c r="D38" s="9" t="inlineStr"/>
    </row>
    <row r="39">
      <c r="A39" s="7" t="inlineStr">
        <is>
          <t>합력 좌표축 axes</t>
        </is>
      </c>
      <c r="B39" s="8" t="inlineStr">
        <is>
          <t>plate</t>
        </is>
      </c>
      <c r="C39" s="7" t="inlineStr"/>
      <c r="D39" s="9" t="inlineStr">
        <is>
          <t>plate: 판축 (x_p, y_p) | local: 국부축 (x ⊥ 능선)</t>
        </is>
      </c>
    </row>
    <row r="40">
      <c r="A40" s="7" t="inlineStr">
        <is>
          <t>영역 zone</t>
        </is>
      </c>
      <c r="B40" s="8" t="inlineStr">
        <is>
          <t>right</t>
        </is>
      </c>
      <c r="C40" s="7" t="inlineStr"/>
      <c r="D40" s="9" t="inlineStr">
        <is>
          <t>right: θ = −β | left: θ = +β (plate 축일 때만 사용)</t>
        </is>
      </c>
    </row>
    <row r="41">
      <c r="A41" s="7" t="inlineStr">
        <is>
          <t>N_x (또는 N_xp)</t>
        </is>
      </c>
      <c r="B41" s="10" t="n">
        <v>0</v>
      </c>
      <c r="C41" s="7" t="inlineStr">
        <is>
          <t>N/mm</t>
        </is>
      </c>
      <c r="D41" s="9" t="inlineStr"/>
    </row>
    <row r="42">
      <c r="A42" s="7" t="inlineStr">
        <is>
          <t>N_y (또는 N_yp)</t>
        </is>
      </c>
      <c r="B42" s="10" t="n">
        <v>0</v>
      </c>
      <c r="C42" s="7" t="inlineStr">
        <is>
          <t>N/mm</t>
        </is>
      </c>
      <c r="D42" s="9" t="inlineStr"/>
    </row>
    <row r="43">
      <c r="A43" s="7" t="inlineStr">
        <is>
          <t>N_xy</t>
        </is>
      </c>
      <c r="B43" s="10" t="n">
        <v>0</v>
      </c>
      <c r="C43" s="7" t="inlineStr">
        <is>
          <t>N/mm</t>
        </is>
      </c>
      <c r="D43" s="9" t="inlineStr"/>
    </row>
    <row r="44">
      <c r="A44" s="7" t="inlineStr">
        <is>
          <t>M_x (또는 M_xp)</t>
        </is>
      </c>
      <c r="B44" s="10" t="n">
        <v>0</v>
      </c>
      <c r="C44" s="7" t="inlineStr">
        <is>
          <t>N·mm/mm</t>
        </is>
      </c>
      <c r="D44" s="9" t="inlineStr"/>
    </row>
    <row r="45">
      <c r="A45" s="7" t="inlineStr">
        <is>
          <t>M_y (또는 M_yp)</t>
        </is>
      </c>
      <c r="B45" s="10" t="n">
        <v>100</v>
      </c>
      <c r="C45" s="7" t="inlineStr">
        <is>
          <t>N·mm/mm</t>
        </is>
      </c>
      <c r="D45" s="9" t="inlineStr"/>
    </row>
    <row r="46">
      <c r="A46" s="7" t="inlineStr">
        <is>
          <t>M_xy</t>
        </is>
      </c>
      <c r="B46" s="10" t="n">
        <v>0</v>
      </c>
      <c r="C46" s="7" t="inlineStr">
        <is>
          <t>N·mm/mm</t>
        </is>
      </c>
      <c r="D46" s="9" t="inlineStr">
        <is>
          <t>공학 비틀림 κ_xy 에 대응 (M_xy = D66·2κ_xy)</t>
        </is>
      </c>
    </row>
    <row r="47">
      <c r="A47" s="7" t="inlineStr">
        <is>
          <t>케이스 허용응력</t>
        </is>
      </c>
      <c r="B47" s="11" t="n"/>
      <c r="C47" s="7" t="inlineStr">
        <is>
          <t>MPa</t>
        </is>
      </c>
      <c r="D47" s="9" t="inlineStr">
        <is>
          <t>비우면 S_allow 사용</t>
        </is>
      </c>
    </row>
  </sheetData>
  <dataValidations count="6">
    <dataValidation sqref="B14" showDropDown="0" showInputMessage="0" showErrorMessage="0" allowBlank="0" type="list">
      <formula1>"A,B"</formula1>
    </dataValidation>
    <dataValidation sqref="B18" showDropDown="0" showInputMessage="0" showErrorMessage="0" allowBlank="0" type="list">
      <formula1>"mid,outer"</formula1>
    </dataValidation>
    <dataValidation sqref="B19" showDropDown="0" showInputMessage="0" showErrorMessage="0" allowBlank="0" type="list">
      <formula1>"normal,axis"</formula1>
    </dataValidation>
    <dataValidation sqref="B24" showDropDown="0" showInputMessage="0" showErrorMessage="0" allowBlank="0" type="list">
      <formula1>"flow,horizontal"</formula1>
    </dataValidation>
    <dataValidation sqref="B39" showDropDown="0" showInputMessage="0" showErrorMessage="0" allowBlank="0" type="list">
      <formula1>"plate,local"</formula1>
    </dataValidation>
    <dataValidation sqref="B40" showDropDown="0" showInputMessage="0" showErrorMessage="0" allowBlank="0" type="list">
      <formula1>"right,left"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90" customWidth="1" min="4" max="4"/>
  </cols>
  <sheetData>
    <row r="1">
      <c r="A1" s="1" t="inlineStr">
        <is>
          <t>형상 전처리·파생량 (docs/05 §3, 원호+접선 폐형식)</t>
        </is>
      </c>
    </row>
    <row r="4">
      <c r="A4" s="5" t="inlineStr">
        <is>
          <t>전처리 (표기 기준 → 계산 기준, docs/10 §2.1)</t>
        </is>
      </c>
      <c r="B4" s="5" t="n"/>
      <c r="C4" s="5" t="n"/>
      <c r="D4" s="5" t="n"/>
    </row>
    <row r="5">
      <c r="A5" s="6" t="inlineStr">
        <is>
          <t>항목</t>
        </is>
      </c>
      <c r="B5" s="6" t="inlineStr">
        <is>
          <t>값</t>
        </is>
      </c>
      <c r="C5" s="6" t="inlineStr">
        <is>
          <t>단위</t>
        </is>
      </c>
      <c r="D5" s="6" t="inlineStr">
        <is>
          <t>비고 / 수식 근거</t>
        </is>
      </c>
    </row>
    <row r="6">
      <c r="A6" s="7" t="inlineStr">
        <is>
          <t>β (유동축 기준)</t>
        </is>
      </c>
      <c r="B6" s="7">
        <f>IF(in_betaref="horizontal",90-in_beta,in_beta)</f>
        <v/>
      </c>
      <c r="C6" s="7" t="inlineStr">
        <is>
          <t>°</t>
        </is>
      </c>
      <c r="D6" s="9" t="inlineStr">
        <is>
          <t>beta_reference=horizontal → 90 − 입력</t>
        </is>
      </c>
    </row>
    <row r="7">
      <c r="A7" s="7" t="inlineStr">
        <is>
          <t>β [rad]</t>
        </is>
      </c>
      <c r="B7" s="7">
        <f>RADIANS(beta_deg)</f>
        <v/>
      </c>
      <c r="C7" s="7" t="inlineStr">
        <is>
          <t>rad</t>
        </is>
      </c>
      <c r="D7" s="9" t="inlineStr"/>
    </row>
    <row r="8">
      <c r="A8" s="7" t="inlineStr">
        <is>
          <t>피치 p (능선 수직)</t>
        </is>
      </c>
      <c r="B8" s="7">
        <f>IF(in_pitchref="axis",in_p*COS(beta),in_p)</f>
        <v/>
      </c>
      <c r="C8" s="7" t="inlineStr">
        <is>
          <t>mm</t>
        </is>
      </c>
      <c r="D8" s="9" t="inlineStr">
        <is>
          <t>pitch_reference=axis → p_in·cosβ</t>
        </is>
      </c>
    </row>
    <row r="9">
      <c r="A9" s="7" t="inlineStr">
        <is>
          <t>깊이 H (중앙면)</t>
        </is>
      </c>
      <c r="B9" s="7">
        <f>IF(in_dims="outer",in_H-in_t,in_H)</f>
        <v/>
      </c>
      <c r="C9" s="7" t="inlineStr">
        <is>
          <t>mm</t>
        </is>
      </c>
      <c r="D9" s="9" t="inlineStr">
        <is>
          <t>dims_reference=outer → H_in − t</t>
        </is>
      </c>
    </row>
    <row r="10">
      <c r="A10" s="7" t="inlineStr">
        <is>
          <t>계산 두께 h = t_calc</t>
        </is>
      </c>
      <c r="B10" s="7">
        <f>IF(ISBLANK(in_tmin),in_t,in_tmin)-in_CA</f>
        <v/>
      </c>
      <c r="C10" s="7" t="inlineStr">
        <is>
          <t>mm</t>
        </is>
      </c>
      <c r="D10" s="9" t="inlineStr">
        <is>
          <t>t_min(없으면 t) − CA. 강성·응력 모두 이 값 사용</t>
        </is>
      </c>
    </row>
    <row r="11">
      <c r="A11" s="7" t="inlineStr">
        <is>
          <t>반피치 c = p/2</t>
        </is>
      </c>
      <c r="B11" s="7">
        <f>p_/2</f>
        <v/>
      </c>
      <c r="C11" s="7" t="inlineStr">
        <is>
          <t>mm</t>
        </is>
      </c>
      <c r="D11" s="9" t="inlineStr"/>
    </row>
    <row r="12">
      <c r="A12" s="7" t="inlineStr">
        <is>
          <t>반깊이 f = H/2</t>
        </is>
      </c>
      <c r="B12" s="7">
        <f>H_mid/2</f>
        <v/>
      </c>
      <c r="C12" s="7" t="inlineStr">
        <is>
          <t>mm</t>
        </is>
      </c>
      <c r="D12" s="9" t="inlineStr"/>
    </row>
    <row r="14">
      <c r="A14" s="5" t="inlineStr">
        <is>
          <t>원호+접선 단면 해 (모드 A: Newton 반복 / 모드 B: 선형)</t>
        </is>
      </c>
      <c r="B14" s="5" t="n"/>
      <c r="C14" s="5" t="n"/>
      <c r="D14" s="5" t="n"/>
    </row>
    <row r="15">
      <c r="A15" s="6" t="inlineStr">
        <is>
          <t>항목</t>
        </is>
      </c>
      <c r="B15" s="6" t="inlineStr">
        <is>
          <t>값</t>
        </is>
      </c>
      <c r="C15" s="6" t="inlineStr">
        <is>
          <t>단위</t>
        </is>
      </c>
      <c r="D15" s="6" t="inlineStr">
        <is>
          <t>비고 / 수식 근거</t>
        </is>
      </c>
    </row>
    <row r="16">
      <c r="A16" s="7" t="inlineStr">
        <is>
          <t>R_c (모드 A)</t>
        </is>
      </c>
      <c r="B16" s="13">
        <f>in_Rc</f>
        <v/>
      </c>
      <c r="C16" s="7" t="inlineStr">
        <is>
          <t>mm</t>
        </is>
      </c>
      <c r="D16" s="9" t="inlineStr"/>
    </row>
    <row r="17">
      <c r="A17" s="7" t="inlineStr">
        <is>
          <t>R_v (모드 A)</t>
        </is>
      </c>
      <c r="B17" s="7">
        <f>IF(ISBLANK(in_Rv),in_Rc,in_Rv)</f>
        <v/>
      </c>
      <c r="C17" s="7" t="inlineStr">
        <is>
          <t>mm</t>
        </is>
      </c>
      <c r="D17" s="9" t="inlineStr">
        <is>
          <t>비우면 R_c</t>
        </is>
      </c>
    </row>
    <row r="18">
      <c r="A18" s="7" t="inlineStr">
        <is>
          <t>R_s = R_c + R_v</t>
        </is>
      </c>
      <c r="B18" s="7">
        <f>Rc_in+Rv_in</f>
        <v/>
      </c>
      <c r="C18" s="7" t="inlineStr">
        <is>
          <t>mm</t>
        </is>
      </c>
      <c r="D18" s="9" t="inlineStr"/>
    </row>
    <row r="19">
      <c r="A19" s="7" t="inlineStr">
        <is>
          <t>α 상한 (T_L ≥ 0)</t>
        </is>
      </c>
      <c r="B19" s="7">
        <f>MIN(ASIN(MIN(1,c_/Rs)),ACOS(MAX(-1,1-H_mid/Rs)),PI()/2)-0.000001</f>
        <v/>
      </c>
      <c r="C19" s="7" t="inlineStr">
        <is>
          <t>rad</t>
        </is>
      </c>
      <c r="D19" s="9" t="inlineStr">
        <is>
          <t>수평식·수직식에서 T_L ≥ 0 이 되는 α 범위의 상한</t>
        </is>
      </c>
    </row>
    <row r="20">
      <c r="A20" s="4" t="inlineStr">
        <is>
          <t>Newton 반복: F(α) = R_s(1−cosα) + (c − R_s sinα)·tanα − H = 0,  F'(α) = (c − R_s sinα)/cos²α.  각 반복값은 (0.001, a_hi) 로 제한.</t>
        </is>
      </c>
    </row>
    <row r="21">
      <c r="A21" s="6" t="inlineStr">
        <is>
          <t>반복 n</t>
        </is>
      </c>
      <c r="B21" s="6" t="inlineStr">
        <is>
          <t>α_n [rad]</t>
        </is>
      </c>
      <c r="C21" s="6" t="inlineStr">
        <is>
          <t>F(α_n)</t>
        </is>
      </c>
      <c r="D21" s="6" t="inlineStr">
        <is>
          <t>F'(α_n)</t>
        </is>
      </c>
    </row>
    <row r="22">
      <c r="A22" s="7" t="n">
        <v>0</v>
      </c>
      <c r="B22" s="14">
        <f>MIN(a_hi,MAX(0.001,ATAN(H_mid/MAX(c_-Rs*0.5,0.001))))</f>
        <v/>
      </c>
      <c r="C22" s="15">
        <f>Rs*(1-COS($B$22))+(c_-Rs*SIN($B$22))*TAN($B$22)-H_mid</f>
        <v/>
      </c>
      <c r="D22" s="14">
        <f>(c_-Rs*SIN($B$22))/COS($B$22)^2</f>
        <v/>
      </c>
    </row>
    <row r="23">
      <c r="A23" s="7" t="n">
        <v>1</v>
      </c>
      <c r="B23" s="14">
        <f>MIN(a_hi,MAX(0.001,$B$22-$C$22/$D$22))</f>
        <v/>
      </c>
      <c r="C23" s="15">
        <f>Rs*(1-COS($B$23))+(c_-Rs*SIN($B$23))*TAN($B$23)-H_mid</f>
        <v/>
      </c>
      <c r="D23" s="14">
        <f>(c_-Rs*SIN($B$23))/COS($B$23)^2</f>
        <v/>
      </c>
    </row>
    <row r="24">
      <c r="A24" s="7" t="n">
        <v>2</v>
      </c>
      <c r="B24" s="14">
        <f>MIN(a_hi,MAX(0.001,$B$23-$C$23/$D$23))</f>
        <v/>
      </c>
      <c r="C24" s="15">
        <f>Rs*(1-COS($B$24))+(c_-Rs*SIN($B$24))*TAN($B$24)-H_mid</f>
        <v/>
      </c>
      <c r="D24" s="14">
        <f>(c_-Rs*SIN($B$24))/COS($B$24)^2</f>
        <v/>
      </c>
    </row>
    <row r="25">
      <c r="A25" s="7" t="n">
        <v>3</v>
      </c>
      <c r="B25" s="14">
        <f>MIN(a_hi,MAX(0.001,$B$24-$C$24/$D$24))</f>
        <v/>
      </c>
      <c r="C25" s="15">
        <f>Rs*(1-COS($B$25))+(c_-Rs*SIN($B$25))*TAN($B$25)-H_mid</f>
        <v/>
      </c>
      <c r="D25" s="14">
        <f>(c_-Rs*SIN($B$25))/COS($B$25)^2</f>
        <v/>
      </c>
    </row>
    <row r="26">
      <c r="A26" s="7" t="n">
        <v>4</v>
      </c>
      <c r="B26" s="14">
        <f>MIN(a_hi,MAX(0.001,$B$25-$C$25/$D$25))</f>
        <v/>
      </c>
      <c r="C26" s="15">
        <f>Rs*(1-COS($B$26))+(c_-Rs*SIN($B$26))*TAN($B$26)-H_mid</f>
        <v/>
      </c>
      <c r="D26" s="14">
        <f>(c_-Rs*SIN($B$26))/COS($B$26)^2</f>
        <v/>
      </c>
    </row>
    <row r="27">
      <c r="A27" s="7" t="n">
        <v>5</v>
      </c>
      <c r="B27" s="14">
        <f>MIN(a_hi,MAX(0.001,$B$26-$C$26/$D$26))</f>
        <v/>
      </c>
      <c r="C27" s="15">
        <f>Rs*(1-COS($B$27))+(c_-Rs*SIN($B$27))*TAN($B$27)-H_mid</f>
        <v/>
      </c>
      <c r="D27" s="14">
        <f>(c_-Rs*SIN($B$27))/COS($B$27)^2</f>
        <v/>
      </c>
    </row>
    <row r="28">
      <c r="A28" s="7" t="n">
        <v>6</v>
      </c>
      <c r="B28" s="14">
        <f>MIN(a_hi,MAX(0.001,$B$27-$C$27/$D$27))</f>
        <v/>
      </c>
      <c r="C28" s="15">
        <f>Rs*(1-COS($B$28))+(c_-Rs*SIN($B$28))*TAN($B$28)-H_mid</f>
        <v/>
      </c>
      <c r="D28" s="14">
        <f>(c_-Rs*SIN($B$28))/COS($B$28)^2</f>
        <v/>
      </c>
    </row>
    <row r="29">
      <c r="A29" s="7" t="n">
        <v>7</v>
      </c>
      <c r="B29" s="14">
        <f>MIN(a_hi,MAX(0.001,$B$28-$C$28/$D$28))</f>
        <v/>
      </c>
      <c r="C29" s="15">
        <f>Rs*(1-COS($B$29))+(c_-Rs*SIN($B$29))*TAN($B$29)-H_mid</f>
        <v/>
      </c>
      <c r="D29" s="14">
        <f>(c_-Rs*SIN($B$29))/COS($B$29)^2</f>
        <v/>
      </c>
    </row>
    <row r="30">
      <c r="A30" s="7" t="n">
        <v>8</v>
      </c>
      <c r="B30" s="14">
        <f>MIN(a_hi,MAX(0.001,$B$29-$C$29/$D$29))</f>
        <v/>
      </c>
      <c r="C30" s="15">
        <f>Rs*(1-COS($B$30))+(c_-Rs*SIN($B$30))*TAN($B$30)-H_mid</f>
        <v/>
      </c>
      <c r="D30" s="14">
        <f>(c_-Rs*SIN($B$30))/COS($B$30)^2</f>
        <v/>
      </c>
    </row>
    <row r="31">
      <c r="A31" s="7" t="n">
        <v>9</v>
      </c>
      <c r="B31" s="14">
        <f>MIN(a_hi,MAX(0.001,$B$30-$C$30/$D$30))</f>
        <v/>
      </c>
      <c r="C31" s="15">
        <f>Rs*(1-COS($B$31))+(c_-Rs*SIN($B$31))*TAN($B$31)-H_mid</f>
        <v/>
      </c>
      <c r="D31" s="14">
        <f>(c_-Rs*SIN($B$31))/COS($B$31)^2</f>
        <v/>
      </c>
    </row>
    <row r="32">
      <c r="A32" s="7" t="n">
        <v>10</v>
      </c>
      <c r="B32" s="14">
        <f>MIN(a_hi,MAX(0.001,$B$31-$C$31/$D$31))</f>
        <v/>
      </c>
      <c r="C32" s="15">
        <f>Rs*(1-COS($B$32))+(c_-Rs*SIN($B$32))*TAN($B$32)-H_mid</f>
        <v/>
      </c>
      <c r="D32" s="14">
        <f>(c_-Rs*SIN($B$32))/COS($B$32)^2</f>
        <v/>
      </c>
    </row>
    <row r="33">
      <c r="A33" s="7" t="n">
        <v>11</v>
      </c>
      <c r="B33" s="14">
        <f>MIN(a_hi,MAX(0.001,$B$32-$C$32/$D$32))</f>
        <v/>
      </c>
      <c r="C33" s="15">
        <f>Rs*(1-COS($B$33))+(c_-Rs*SIN($B$33))*TAN($B$33)-H_mid</f>
        <v/>
      </c>
      <c r="D33" s="14">
        <f>(c_-Rs*SIN($B$33))/COS($B$33)^2</f>
        <v/>
      </c>
    </row>
    <row r="34">
      <c r="A34" s="7" t="n">
        <v>12</v>
      </c>
      <c r="B34" s="14">
        <f>MIN(a_hi,MAX(0.001,$B$33-$C$33/$D$33))</f>
        <v/>
      </c>
      <c r="C34" s="15">
        <f>Rs*(1-COS($B$34))+(c_-Rs*SIN($B$34))*TAN($B$34)-H_mid</f>
        <v/>
      </c>
      <c r="D34" s="14">
        <f>(c_-Rs*SIN($B$34))/COS($B$34)^2</f>
        <v/>
      </c>
    </row>
    <row r="35">
      <c r="A35" s="7" t="n">
        <v>13</v>
      </c>
      <c r="B35" s="14">
        <f>MIN(a_hi,MAX(0.001,$B$34-$C$34/$D$34))</f>
        <v/>
      </c>
      <c r="C35" s="15">
        <f>Rs*(1-COS($B$35))+(c_-Rs*SIN($B$35))*TAN($B$35)-H_mid</f>
        <v/>
      </c>
      <c r="D35" s="14">
        <f>(c_-Rs*SIN($B$35))/COS($B$35)^2</f>
        <v/>
      </c>
    </row>
    <row r="36">
      <c r="A36" s="7" t="n">
        <v>14</v>
      </c>
      <c r="B36" s="14">
        <f>MIN(a_hi,MAX(0.001,$B$35-$C$35/$D$35))</f>
        <v/>
      </c>
      <c r="C36" s="15">
        <f>Rs*(1-COS($B$36))+(c_-Rs*SIN($B$36))*TAN($B$36)-H_mid</f>
        <v/>
      </c>
      <c r="D36" s="14">
        <f>(c_-Rs*SIN($B$36))/COS($B$36)^2</f>
        <v/>
      </c>
    </row>
    <row r="37">
      <c r="A37" s="7" t="n">
        <v>15</v>
      </c>
      <c r="B37" s="14">
        <f>MIN(a_hi,MAX(0.001,$B$36-$C$36/$D$36))</f>
        <v/>
      </c>
      <c r="C37" s="15">
        <f>Rs*(1-COS($B$37))+(c_-Rs*SIN($B$37))*TAN($B$37)-H_mid</f>
        <v/>
      </c>
      <c r="D37" s="14">
        <f>(c_-Rs*SIN($B$37))/COS($B$37)^2</f>
        <v/>
      </c>
    </row>
    <row r="38">
      <c r="A38" s="7" t="n">
        <v>16</v>
      </c>
      <c r="B38" s="14">
        <f>MIN(a_hi,MAX(0.001,$B$37-$C$37/$D$37))</f>
        <v/>
      </c>
      <c r="C38" s="15">
        <f>Rs*(1-COS($B$38))+(c_-Rs*SIN($B$38))*TAN($B$38)-H_mid</f>
        <v/>
      </c>
      <c r="D38" s="14">
        <f>(c_-Rs*SIN($B$38))/COS($B$38)^2</f>
        <v/>
      </c>
    </row>
    <row r="39">
      <c r="A39" s="7" t="n">
        <v>17</v>
      </c>
      <c r="B39" s="14">
        <f>MIN(a_hi,MAX(0.001,$B$38-$C$38/$D$38))</f>
        <v/>
      </c>
      <c r="C39" s="15">
        <f>Rs*(1-COS($B$39))+(c_-Rs*SIN($B$39))*TAN($B$39)-H_mid</f>
        <v/>
      </c>
      <c r="D39" s="14">
        <f>(c_-Rs*SIN($B$39))/COS($B$39)^2</f>
        <v/>
      </c>
    </row>
    <row r="40">
      <c r="A40" s="7" t="n">
        <v>18</v>
      </c>
      <c r="B40" s="14">
        <f>MIN(a_hi,MAX(0.001,$B$39-$C$39/$D$39))</f>
        <v/>
      </c>
      <c r="C40" s="15">
        <f>Rs*(1-COS($B$40))+(c_-Rs*SIN($B$40))*TAN($B$40)-H_mid</f>
        <v/>
      </c>
      <c r="D40" s="14">
        <f>(c_-Rs*SIN($B$40))/COS($B$40)^2</f>
        <v/>
      </c>
    </row>
    <row r="41">
      <c r="A41" s="7" t="n">
        <v>19</v>
      </c>
      <c r="B41" s="14">
        <f>MIN(a_hi,MAX(0.001,$B$40-$C$40/$D$40))</f>
        <v/>
      </c>
      <c r="C41" s="15">
        <f>Rs*(1-COS($B$41))+(c_-Rs*SIN($B$41))*TAN($B$41)-H_mid</f>
        <v/>
      </c>
      <c r="D41" s="14">
        <f>(c_-Rs*SIN($B$41))/COS($B$41)^2</f>
        <v/>
      </c>
    </row>
    <row r="42">
      <c r="A42" s="7" t="n">
        <v>20</v>
      </c>
      <c r="B42" s="14">
        <f>MIN(a_hi,MAX(0.001,$B$41-$C$41/$D$41))</f>
        <v/>
      </c>
      <c r="C42" s="15">
        <f>Rs*(1-COS($B$42))+(c_-Rs*SIN($B$42))*TAN($B$42)-H_mid</f>
        <v/>
      </c>
      <c r="D42" s="14">
        <f>(c_-Rs*SIN($B$42))/COS($B$42)^2</f>
        <v/>
      </c>
    </row>
    <row r="44">
      <c r="A44" s="7" t="inlineStr">
        <is>
          <t>α (모드 A 해)</t>
        </is>
      </c>
      <c r="B44" s="7">
        <f>$B$42</f>
        <v/>
      </c>
      <c r="C44" s="7" t="inlineStr">
        <is>
          <t>rad</t>
        </is>
      </c>
      <c r="D44" s="9" t="inlineStr">
        <is>
          <t>Newton 20회 최종값</t>
        </is>
      </c>
    </row>
    <row r="45">
      <c r="A45" s="7" t="inlineStr">
        <is>
          <t>잔차 |F(α)| (모드 A)</t>
        </is>
      </c>
      <c r="B45" s="7">
        <f>ABS($C$42)</f>
        <v/>
      </c>
      <c r="C45" s="7" t="inlineStr">
        <is>
          <t>mm</t>
        </is>
      </c>
      <c r="D45" s="9" t="inlineStr">
        <is>
          <t>1e-9 이하이면 수렴. 크면 R_c 가 너무 커서 접선 구간이 없음</t>
        </is>
      </c>
    </row>
    <row r="46">
      <c r="A46" s="7" t="inlineStr">
        <is>
          <t>α (모드 B 입력)</t>
        </is>
      </c>
      <c r="B46" s="7">
        <f>IF(ISBLANK(in_alpha),0,RADIANS(in_alpha))</f>
        <v/>
      </c>
      <c r="C46" s="7" t="inlineStr">
        <is>
          <t>rad</t>
        </is>
      </c>
      <c r="D46" s="9" t="inlineStr"/>
    </row>
    <row r="47">
      <c r="A47" s="7" t="inlineStr">
        <is>
          <t>R (모드 B: R_c = R_v)</t>
        </is>
      </c>
      <c r="B47" s="7">
        <f>IF(alpha_B&gt;0,(c_*SIN(alpha_B)-H_mid*COS(alpha_B))/(2*(1-COS(alpha_B))),0)</f>
        <v/>
      </c>
      <c r="C47" s="7" t="inlineStr">
        <is>
          <t>mm</t>
        </is>
      </c>
      <c r="D47" s="9" t="inlineStr">
        <is>
          <t>2R sinα + T cosα = c,  2R(1−cosα) + T sinα = H  →  det = 2(1−cosα)</t>
        </is>
      </c>
    </row>
    <row r="48">
      <c r="A48" s="7" t="inlineStr">
        <is>
          <t>α (채택)</t>
        </is>
      </c>
      <c r="B48" s="7">
        <f>IF(in_mode="B",alpha_B,alpha_A)</f>
        <v/>
      </c>
      <c r="C48" s="7" t="inlineStr">
        <is>
          <t>rad</t>
        </is>
      </c>
      <c r="D48" s="9" t="inlineStr"/>
    </row>
    <row r="49">
      <c r="A49" s="7" t="inlineStr">
        <is>
          <t>α [°]</t>
        </is>
      </c>
      <c r="B49" s="7">
        <f>DEGREES(alpha)</f>
        <v/>
      </c>
      <c r="C49" s="7" t="inlineStr">
        <is>
          <t>°</t>
        </is>
      </c>
      <c r="D49" s="9" t="inlineStr"/>
    </row>
    <row r="50">
      <c r="A50" s="7" t="inlineStr">
        <is>
          <t>R_c (채택)</t>
        </is>
      </c>
      <c r="B50" s="7">
        <f>IF(in_mode="B",R_B,Rc_in)</f>
        <v/>
      </c>
      <c r="C50" s="7" t="inlineStr">
        <is>
          <t>mm</t>
        </is>
      </c>
      <c r="D50" s="9" t="inlineStr"/>
    </row>
    <row r="51">
      <c r="A51" s="7" t="inlineStr">
        <is>
          <t>R_v (채택)</t>
        </is>
      </c>
      <c r="B51" s="7">
        <f>IF(in_mode="B",R_B,Rv_in)</f>
        <v/>
      </c>
      <c r="C51" s="7" t="inlineStr">
        <is>
          <t>mm</t>
        </is>
      </c>
      <c r="D51" s="9" t="inlineStr"/>
    </row>
    <row r="52">
      <c r="A52" s="7" t="inlineStr">
        <is>
          <t>접선(플랭크) 길이 T_L</t>
        </is>
      </c>
      <c r="B52" s="7">
        <f>MAX(0,(c_-(Rc+Rv)*SIN(alpha))/COS(alpha))</f>
        <v/>
      </c>
      <c r="C52" s="7" t="inlineStr">
        <is>
          <t>mm</t>
        </is>
      </c>
      <c r="D52" s="9" t="inlineStr">
        <is>
          <t>수평식. 반주기당 직선 길이</t>
        </is>
      </c>
    </row>
    <row r="53">
      <c r="A53" s="7" t="inlineStr">
        <is>
          <t>R_min</t>
        </is>
      </c>
      <c r="B53" s="7">
        <f>MIN(Rc,Rv)</f>
        <v/>
      </c>
      <c r="C53" s="7" t="inlineStr">
        <is>
          <t>mm</t>
        </is>
      </c>
      <c r="D53" s="9" t="inlineStr"/>
    </row>
    <row r="54">
      <c r="A54" s="7" t="inlineStr">
        <is>
          <t>형상 정합 검사 (수직식 잔차)</t>
        </is>
      </c>
      <c r="B54" s="15">
        <f>(Rc+Rv)*(1-COS(alpha))+TL*SIN(alpha)-H_mid</f>
        <v/>
      </c>
      <c r="C54" s="7" t="inlineStr">
        <is>
          <t>mm</t>
        </is>
      </c>
      <c r="D54" s="9" t="inlineStr">
        <is>
          <t>0 이어야 함 (모드 A 수렴, 모드 B 물리해 확인)</t>
        </is>
      </c>
    </row>
    <row r="56">
      <c r="A56" s="5" t="inlineStr">
        <is>
          <t>파생량 (docs/05 §3, Lang &amp; Su Eq. 27 일반화)</t>
        </is>
      </c>
      <c r="B56" s="5" t="n"/>
      <c r="C56" s="5" t="n"/>
      <c r="D56" s="5" t="n"/>
    </row>
    <row r="57">
      <c r="A57" s="6" t="inlineStr">
        <is>
          <t>항목</t>
        </is>
      </c>
      <c r="B57" s="6" t="inlineStr">
        <is>
          <t>값</t>
        </is>
      </c>
      <c r="C57" s="6" t="inlineStr">
        <is>
          <t>단위</t>
        </is>
      </c>
      <c r="D57" s="6" t="inlineStr">
        <is>
          <t>비고 / 수식 근거</t>
        </is>
      </c>
    </row>
    <row r="58">
      <c r="A58" s="7" t="inlineStr">
        <is>
          <t>반주기 호장 l</t>
        </is>
      </c>
      <c r="B58" s="7">
        <f>(Rc+Rv)*alpha+TL</f>
        <v/>
      </c>
      <c r="C58" s="7" t="inlineStr">
        <is>
          <t>mm</t>
        </is>
      </c>
      <c r="D58" s="9" t="inlineStr"/>
    </row>
    <row r="59">
      <c r="A59" s="7" t="inlineStr">
        <is>
          <t>λ = l/c</t>
        </is>
      </c>
      <c r="B59" s="7">
        <f>l_/c_</f>
        <v/>
      </c>
      <c r="C59" s="7" t="inlineStr"/>
      <c r="D59" s="9" t="inlineStr"/>
    </row>
    <row r="60">
      <c r="A60" s="7" t="inlineStr">
        <is>
          <t>q = ∫₀^α cos²θ dθ</t>
        </is>
      </c>
      <c r="B60" s="7">
        <f>alpha/2+SIN(2*alpha)/4</f>
        <v/>
      </c>
      <c r="C60" s="7" t="inlineStr">
        <is>
          <t>rad</t>
        </is>
      </c>
      <c r="D60" s="9" t="inlineStr"/>
    </row>
    <row r="61">
      <c r="A61" s="7" t="inlineStr">
        <is>
          <t>I1 = ∫(dx/ds)² ds (1주기)</t>
        </is>
      </c>
      <c r="B61" s="7">
        <f>2*((Rc+Rv)*q_int+TL*COS(alpha)^2)</f>
        <v/>
      </c>
      <c r="C61" s="7" t="inlineStr">
        <is>
          <t>mm</t>
        </is>
      </c>
      <c r="D61" s="9" t="inlineStr"/>
    </row>
    <row r="62">
      <c r="A62" s="7" t="inlineStr">
        <is>
          <t>산 원호 중심 |z| = f − R_c</t>
        </is>
      </c>
      <c r="B62" s="7">
        <f>f_-Rc</f>
        <v/>
      </c>
      <c r="C62" s="7" t="inlineStr">
        <is>
          <t>mm</t>
        </is>
      </c>
      <c r="D62" s="9" t="inlineStr"/>
    </row>
    <row r="63">
      <c r="A63" s="7" t="inlineStr">
        <is>
          <t>골 원호 중심 |z| = f − R_v</t>
        </is>
      </c>
      <c r="B63" s="7">
        <f>f_-Rv</f>
        <v/>
      </c>
      <c r="C63" s="7" t="inlineStr">
        <is>
          <t>mm</t>
        </is>
      </c>
      <c r="D63" s="9" t="inlineStr"/>
    </row>
    <row r="64">
      <c r="A64" s="7" t="inlineStr">
        <is>
          <t>플랭크 시작 z1</t>
        </is>
      </c>
      <c r="B64" s="7">
        <f>f_-Rc*(1-COS(alpha))</f>
        <v/>
      </c>
      <c r="C64" s="7" t="inlineStr">
        <is>
          <t>mm</t>
        </is>
      </c>
      <c r="D64" s="9" t="inlineStr"/>
    </row>
    <row r="65">
      <c r="A65" s="7" t="inlineStr">
        <is>
          <t>플랭크 끝 z2</t>
        </is>
      </c>
      <c r="B65" s="7">
        <f>z_1-TL*SIN(alpha)</f>
        <v/>
      </c>
      <c r="C65" s="7" t="inlineStr">
        <is>
          <t>mm</t>
        </is>
      </c>
      <c r="D65" s="9" t="inlineStr"/>
    </row>
    <row r="66">
      <c r="A66" s="7" t="inlineStr">
        <is>
          <t>I2 산 원호</t>
        </is>
      </c>
      <c r="B66" s="7">
        <f>Rc*(a_c^2*alpha+2*a_c*Rc*SIN(alpha)+Rc^2*q_int)</f>
        <v/>
      </c>
      <c r="C66" s="7" t="inlineStr">
        <is>
          <t>mm³</t>
        </is>
      </c>
      <c r="D66" s="9" t="inlineStr"/>
    </row>
    <row r="67">
      <c r="A67" s="7" t="inlineStr">
        <is>
          <t>I2 골 원호</t>
        </is>
      </c>
      <c r="B67" s="7">
        <f>Rv*(a_v^2*alpha+2*a_v*Rv*SIN(alpha)+Rv^2*q_int)</f>
        <v/>
      </c>
      <c r="C67" s="7" t="inlineStr">
        <is>
          <t>mm³</t>
        </is>
      </c>
      <c r="D67" s="9" t="inlineStr"/>
    </row>
    <row r="68">
      <c r="A68" s="7" t="inlineStr">
        <is>
          <t>I2 플랭크</t>
        </is>
      </c>
      <c r="B68" s="7">
        <f>IF(TL&gt;0,(z_1^3-z_2^3)/(3*SIN(alpha)),0)</f>
        <v/>
      </c>
      <c r="C68" s="7" t="inlineStr">
        <is>
          <t>mm³</t>
        </is>
      </c>
      <c r="D68" s="9" t="inlineStr"/>
    </row>
    <row r="69">
      <c r="A69" s="7" t="inlineStr">
        <is>
          <t>I2 = ∫ z² ds (1주기)</t>
        </is>
      </c>
      <c r="B69" s="7">
        <f>2*(I_2c+I_2f+I_2v)</f>
        <v/>
      </c>
      <c r="C69" s="7" t="inlineStr">
        <is>
          <t>mm³</t>
        </is>
      </c>
      <c r="D69" s="9" t="inlineStr"/>
    </row>
    <row r="70">
      <c r="A70" s="7" t="inlineStr">
        <is>
          <t>J1 = I1/(2c) = ⟨1/√a⟩</t>
        </is>
      </c>
      <c r="B70" s="7">
        <f>I_1/(2*c_)</f>
        <v/>
      </c>
      <c r="C70" s="7" t="inlineStr"/>
      <c r="D70" s="9" t="inlineStr"/>
    </row>
    <row r="71">
      <c r="A71" s="7" t="inlineStr">
        <is>
          <t>J2 = I2/(2c) = ε²⟨φ²√a⟩</t>
        </is>
      </c>
      <c r="B71" s="7">
        <f>I_2/(2*c_)</f>
        <v/>
      </c>
      <c r="C71" s="7" t="inlineStr">
        <is>
          <t>mm²</t>
        </is>
      </c>
      <c r="D71" s="9" t="inlineStr"/>
    </row>
    <row r="72">
      <c r="A72" s="7" t="inlineStr">
        <is>
          <t>단위폭 단면적 A_u = hλ</t>
        </is>
      </c>
      <c r="B72" s="7">
        <f>h_calc*lam</f>
        <v/>
      </c>
      <c r="C72" s="7" t="inlineStr">
        <is>
          <t>mm²/mm</t>
        </is>
      </c>
      <c r="D72" s="9" t="inlineStr"/>
    </row>
    <row r="73">
      <c r="A73" s="7" t="inlineStr">
        <is>
          <t>단위폭 2차모멘트 I_u = h·J2</t>
        </is>
      </c>
      <c r="B73" s="7">
        <f>h_calc*J_2</f>
        <v/>
      </c>
      <c r="C73" s="7" t="inlineStr">
        <is>
          <t>mm⁴/mm</t>
        </is>
      </c>
      <c r="D73" s="9" t="inlineStr"/>
    </row>
    <row r="74">
      <c r="A74" s="7" t="inlineStr">
        <is>
          <t>단위폭 단면계수 W_u</t>
        </is>
      </c>
      <c r="B74" s="7">
        <f>I_u/(f_+h_calc/2)</f>
        <v/>
      </c>
      <c r="C74" s="7" t="inlineStr">
        <is>
          <t>mm³/mm</t>
        </is>
      </c>
      <c r="D74" s="9" t="inlineStr"/>
    </row>
    <row r="76">
      <c r="A76" s="5" t="inlineStr">
        <is>
          <t>무차원·경고</t>
        </is>
      </c>
      <c r="B76" s="5" t="n"/>
      <c r="C76" s="5" t="n"/>
      <c r="D76" s="5" t="n"/>
    </row>
    <row r="77">
      <c r="A77" s="6" t="inlineStr">
        <is>
          <t>항목</t>
        </is>
      </c>
      <c r="B77" s="6" t="inlineStr">
        <is>
          <t>값</t>
        </is>
      </c>
      <c r="C77" s="6" t="inlineStr">
        <is>
          <t>단위</t>
        </is>
      </c>
      <c r="D77" s="6" t="inlineStr">
        <is>
          <t>비고 / 수식 근거</t>
        </is>
      </c>
    </row>
    <row r="78">
      <c r="A78" s="7" t="inlineStr">
        <is>
          <t>H/p</t>
        </is>
      </c>
      <c r="B78" s="7">
        <f>H_mid/p_</f>
        <v/>
      </c>
      <c r="C78" s="7" t="inlineStr"/>
      <c r="D78" s="9" t="inlineStr"/>
    </row>
    <row r="79">
      <c r="A79" s="7" t="inlineStr">
        <is>
          <t>t/p</t>
        </is>
      </c>
      <c r="B79" s="7">
        <f>h_calc/p_</f>
        <v/>
      </c>
      <c r="C79" s="7" t="inlineStr"/>
      <c r="D79" s="9" t="inlineStr"/>
    </row>
    <row r="80">
      <c r="A80" s="7" t="inlineStr">
        <is>
          <t>t/R_min</t>
        </is>
      </c>
      <c r="B80" s="7">
        <f>h_calc/Rmin</f>
        <v/>
      </c>
      <c r="C80" s="7" t="inlineStr"/>
      <c r="D80" s="9" t="inlineStr"/>
    </row>
    <row r="81">
      <c r="A81" s="7" t="inlineStr">
        <is>
          <t>경고: 두께</t>
        </is>
      </c>
      <c r="B81" s="16">
        <f>IF(ISBLANK(in_tmin),"t_min 미입력 → 공칭 두께로 계산 (성형 두께 감소 미반영)","-")</f>
        <v/>
      </c>
      <c r="C81" s="7" t="inlineStr"/>
      <c r="D81" s="9" t="inlineStr"/>
    </row>
    <row r="82">
      <c r="A82" s="7" t="inlineStr">
        <is>
          <t>경고: t/R_min</t>
        </is>
      </c>
      <c r="B82" s="16">
        <f>IF(tR&gt;0.2,"t/R_min &gt; 0.2: 쉘 이론 범위 밖. 능선 응력은 D단계 솔리드 FE 보정 (09 §5)","-")</f>
        <v/>
      </c>
      <c r="C82" s="7" t="inlineStr"/>
      <c r="D82" s="9" t="inlineStr"/>
    </row>
    <row r="83">
      <c r="A83" s="7" t="inlineStr">
        <is>
          <t>경고: H/p</t>
        </is>
      </c>
      <c r="B83" s="16">
        <f>IF(Hp&gt;1,"H/p &gt; 1: 문헌 검증 범위 밖","-")</f>
        <v/>
      </c>
      <c r="C83" s="7" t="inlineStr"/>
      <c r="D83" s="9" t="inlineStr"/>
    </row>
    <row r="84">
      <c r="A84" s="7" t="inlineStr">
        <is>
          <t>경고: 수렴</t>
        </is>
      </c>
      <c r="B84" s="16">
        <f>IF(AND(in_mode="A",resid_A&gt;0.000000001),"모드 A Newton 미수렴: R_c/R_v 가 커서 접선 구간이 없음","-")</f>
        <v/>
      </c>
      <c r="C84" s="7" t="inlineStr"/>
      <c r="D84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90" customWidth="1" min="4" max="4"/>
  </cols>
  <sheetData>
    <row r="1">
      <c r="A1" s="1" t="inlineStr">
        <is>
          <t>국부축 등가 강성 — 채택식 (docs/06 §2, Ye 2014 Eq. 19) 및 등가 두께 (docs/09 §1)</t>
        </is>
      </c>
    </row>
    <row r="4">
      <c r="A4" s="5" t="inlineStr">
        <is>
          <t>재료</t>
        </is>
      </c>
      <c r="B4" s="5" t="n"/>
      <c r="C4" s="5" t="n"/>
      <c r="D4" s="5" t="n"/>
    </row>
    <row r="5">
      <c r="A5" s="6" t="inlineStr">
        <is>
          <t>항목</t>
        </is>
      </c>
      <c r="B5" s="6" t="inlineStr">
        <is>
          <t>값</t>
        </is>
      </c>
      <c r="C5" s="6" t="inlineStr">
        <is>
          <t>단위</t>
        </is>
      </c>
      <c r="D5" s="6" t="inlineStr">
        <is>
          <t>비고 / 수식 근거</t>
        </is>
      </c>
    </row>
    <row r="6">
      <c r="A6" s="7" t="inlineStr">
        <is>
          <t>E</t>
        </is>
      </c>
      <c r="B6" s="13">
        <f>in_E</f>
        <v/>
      </c>
      <c r="C6" s="7" t="inlineStr">
        <is>
          <t>MPa</t>
        </is>
      </c>
      <c r="D6" s="9" t="inlineStr"/>
    </row>
    <row r="7">
      <c r="A7" s="7" t="inlineStr">
        <is>
          <t>ν</t>
        </is>
      </c>
      <c r="B7" s="13">
        <f>in_nu</f>
        <v/>
      </c>
      <c r="C7" s="7" t="inlineStr"/>
      <c r="D7" s="9" t="inlineStr"/>
    </row>
    <row r="8">
      <c r="A8" s="7" t="inlineStr">
        <is>
          <t>G = E/(2(1+ν))</t>
        </is>
      </c>
      <c r="B8" s="7">
        <f>E_/(2*(1+nu_))</f>
        <v/>
      </c>
      <c r="C8" s="7" t="inlineStr">
        <is>
          <t>MPa</t>
        </is>
      </c>
      <c r="D8" s="9" t="inlineStr"/>
    </row>
    <row r="9">
      <c r="A9" s="7" t="inlineStr">
        <is>
          <t>Q = E/(1−ν²)</t>
        </is>
      </c>
      <c r="B9" s="7">
        <f>E_/(1-nu_^2)</f>
        <v/>
      </c>
      <c r="C9" s="7" t="inlineStr">
        <is>
          <t>MPa</t>
        </is>
      </c>
      <c r="D9" s="9" t="inlineStr">
        <is>
          <t>평면응력 강성</t>
        </is>
      </c>
    </row>
    <row r="11">
      <c r="A11" s="5" t="inlineStr">
        <is>
          <t>채택식 A (막) [N/mm], D (굽힘) [N·mm]  — x ⊥ 능선, y ∥ 능선</t>
        </is>
      </c>
      <c r="B11" s="5" t="n"/>
      <c r="C11" s="5" t="n"/>
      <c r="D11" s="5" t="n"/>
    </row>
    <row r="12">
      <c r="A12" s="6" t="inlineStr">
        <is>
          <t>항목</t>
        </is>
      </c>
      <c r="B12" s="6" t="inlineStr">
        <is>
          <t>값</t>
        </is>
      </c>
      <c r="C12" s="6" t="inlineStr">
        <is>
          <t>단위</t>
        </is>
      </c>
      <c r="D12" s="6" t="inlineStr">
        <is>
          <t>비고 / 수식 근거</t>
        </is>
      </c>
    </row>
    <row r="13">
      <c r="A13" s="7" t="inlineStr">
        <is>
          <t>A11</t>
        </is>
      </c>
      <c r="B13" s="17">
        <f>E_*h_calc^3/((1-nu_^2)*(12*J_2+h_calc^2*J_1))</f>
        <v/>
      </c>
      <c r="C13" s="7" t="inlineStr">
        <is>
          <t>N/mm</t>
        </is>
      </c>
      <c r="D13" s="9" t="inlineStr">
        <is>
          <t>E h³ / ((1−ν²)(12J2 + h²J1))</t>
        </is>
      </c>
    </row>
    <row r="14">
      <c r="A14" s="7" t="inlineStr">
        <is>
          <t>A12</t>
        </is>
      </c>
      <c r="B14" s="17">
        <f>nu_*A_11</f>
        <v/>
      </c>
      <c r="C14" s="7" t="inlineStr">
        <is>
          <t>N/mm</t>
        </is>
      </c>
      <c r="D14" s="9" t="inlineStr">
        <is>
          <t>ν A11</t>
        </is>
      </c>
    </row>
    <row r="15">
      <c r="A15" s="7" t="inlineStr">
        <is>
          <t>A22</t>
        </is>
      </c>
      <c r="B15" s="17">
        <f>E_*h_calc*lam+nu_^2*A_11</f>
        <v/>
      </c>
      <c r="C15" s="7" t="inlineStr">
        <is>
          <t>N/mm</t>
        </is>
      </c>
      <c r="D15" s="9" t="inlineStr">
        <is>
          <t>E h λ + ν² A11</t>
        </is>
      </c>
    </row>
    <row r="16">
      <c r="A16" s="7" t="inlineStr">
        <is>
          <t>A66</t>
        </is>
      </c>
      <c r="B16" s="17">
        <f>G_*h_calc/lam</f>
        <v/>
      </c>
      <c r="C16" s="7" t="inlineStr">
        <is>
          <t>N/mm</t>
        </is>
      </c>
      <c r="D16" s="9" t="inlineStr">
        <is>
          <t>G h / λ</t>
        </is>
      </c>
    </row>
    <row r="17">
      <c r="A17" s="7" t="inlineStr">
        <is>
          <t>D11</t>
        </is>
      </c>
      <c r="B17" s="17">
        <f>E_*h_calc^3/(12*(1-nu_^2)*lam)</f>
        <v/>
      </c>
      <c r="C17" s="7" t="inlineStr">
        <is>
          <t>N·mm</t>
        </is>
      </c>
      <c r="D17" s="9" t="inlineStr">
        <is>
          <t>E h³ / (12(1−ν²) λ)</t>
        </is>
      </c>
    </row>
    <row r="18">
      <c r="A18" s="7" t="inlineStr">
        <is>
          <t>D12</t>
        </is>
      </c>
      <c r="B18" s="17">
        <f>nu_*D_11</f>
        <v/>
      </c>
      <c r="C18" s="7" t="inlineStr">
        <is>
          <t>N·mm</t>
        </is>
      </c>
      <c r="D18" s="9" t="inlineStr">
        <is>
          <t>ν D11</t>
        </is>
      </c>
    </row>
    <row r="19">
      <c r="A19" s="7" t="inlineStr">
        <is>
          <t>D22</t>
        </is>
      </c>
      <c r="B19" s="17">
        <f>E_*h_calc*J_2+E_*h_calc^3*J_1/12+nu_^2*D_11</f>
        <v/>
      </c>
      <c r="C19" s="7" t="inlineStr">
        <is>
          <t>N·mm</t>
        </is>
      </c>
      <c r="D19" s="9" t="inlineStr">
        <is>
          <t>E h J2 + E h³ J1/12 + ν² D11</t>
        </is>
      </c>
    </row>
    <row r="20">
      <c r="A20" s="7" t="inlineStr">
        <is>
          <t>D66</t>
        </is>
      </c>
      <c r="B20" s="17">
        <f>G_*h_calc^3*lam/12</f>
        <v/>
      </c>
      <c r="C20" s="7" t="inlineStr">
        <is>
          <t>N·mm</t>
        </is>
      </c>
      <c r="D20" s="9" t="inlineStr">
        <is>
          <t>G h³ λ / 12 (κ_xy 공학 비틀림 관례: M_xy = D66·2κ_xy)</t>
        </is>
      </c>
    </row>
    <row r="21">
      <c r="A21" s="7" t="inlineStr">
        <is>
          <t>A22/A11</t>
        </is>
      </c>
      <c r="B21" s="17">
        <f>A_22/A_11</f>
        <v/>
      </c>
      <c r="C21" s="7" t="inlineStr"/>
      <c r="D21" s="9" t="inlineStr">
        <is>
          <t>직교이방성 비</t>
        </is>
      </c>
    </row>
    <row r="22">
      <c r="A22" s="7" t="inlineStr">
        <is>
          <t>D22/D11</t>
        </is>
      </c>
      <c r="B22" s="17">
        <f>D_22/D_11</f>
        <v/>
      </c>
      <c r="C22" s="7" t="inlineStr"/>
      <c r="D22" s="9" t="inlineStr"/>
    </row>
    <row r="23">
      <c r="A23" s="7" t="inlineStr">
        <is>
          <t>A66/A11</t>
        </is>
      </c>
      <c r="B23" s="17">
        <f>A_66/A_11</f>
        <v/>
      </c>
      <c r="C23" s="7" t="inlineStr"/>
      <c r="D23" s="9" t="inlineStr"/>
    </row>
    <row r="25">
      <c r="A25" s="5" t="inlineStr">
        <is>
          <t>모델 비교 (채택식 대비 %, docs/06 §3)</t>
        </is>
      </c>
      <c r="B25" s="5" t="n"/>
      <c r="C25" s="5" t="n"/>
      <c r="D25" s="5" t="n"/>
    </row>
    <row r="26">
      <c r="A26" s="6" t="inlineStr">
        <is>
          <t>항목</t>
        </is>
      </c>
      <c r="B26" s="6" t="inlineStr">
        <is>
          <t>값</t>
        </is>
      </c>
      <c r="C26" s="6" t="inlineStr">
        <is>
          <t>단위</t>
        </is>
      </c>
      <c r="D26" s="6" t="inlineStr">
        <is>
          <t>비고 / 수식 근거</t>
        </is>
      </c>
    </row>
    <row r="27">
      <c r="A27" s="7" t="inlineStr">
        <is>
          <t>Xia 2012 D22 (Dirichlet 상한)</t>
        </is>
      </c>
      <c r="B27" s="14">
        <f>((E_*h_calc*J_2+E_*h_calc^3*J_1/12)/(1-nu_^2)/D_22-1)*100</f>
        <v/>
      </c>
      <c r="C27" s="7" t="inlineStr">
        <is>
          <t>%</t>
        </is>
      </c>
      <c r="D27" s="9" t="inlineStr">
        <is>
          <t>1/(1−ν²) 과대</t>
        </is>
      </c>
    </row>
    <row r="28">
      <c r="A28" s="7" t="inlineStr">
        <is>
          <t>Lang &amp; Su 2022 A22</t>
        </is>
      </c>
      <c r="B28" s="14">
        <f>((nu_^2*A_11+(1-nu_^2)*E_*h_calc*lam)/A_22-1)*100</f>
        <v/>
      </c>
      <c r="C28" s="7" t="inlineStr">
        <is>
          <t>%</t>
        </is>
      </c>
      <c r="D28" s="9" t="inlineStr">
        <is>
          <t>평판 극한 불환원</t>
        </is>
      </c>
    </row>
    <row r="29">
      <c r="A29" s="7" t="inlineStr">
        <is>
          <t>Lang &amp; Su 2022 A11</t>
        </is>
      </c>
      <c r="B29" s="14">
        <f>((E_*h_calc^3/(12*J_2*(1-nu_^2)+h_calc^2*J_1))/A_11-1)*100</f>
        <v/>
      </c>
      <c r="C29" s="7" t="inlineStr">
        <is>
          <t>%</t>
        </is>
      </c>
      <c r="D29" s="9" t="inlineStr"/>
    </row>
    <row r="30">
      <c r="A30" s="7" t="inlineStr">
        <is>
          <t>Ye 얕은 주름식 A11</t>
        </is>
      </c>
      <c r="B30" s="14">
        <f>((E_*h_calc^3/(12*(1-nu_^2)*J_2))/A_11-1)*100</f>
        <v/>
      </c>
      <c r="C30" s="7" t="inlineStr">
        <is>
          <t>%</t>
        </is>
      </c>
      <c r="D30" s="9" t="inlineStr">
        <is>
          <t>J1 항 생략</t>
        </is>
      </c>
    </row>
    <row r="31">
      <c r="A31" s="7" t="inlineStr">
        <is>
          <t>Ye 얕은 주름식 D22</t>
        </is>
      </c>
      <c r="B31" s="14">
        <f>((E_*h_calc*J_2)/D_22-1)*100</f>
        <v/>
      </c>
      <c r="C31" s="7" t="inlineStr">
        <is>
          <t>%</t>
        </is>
      </c>
      <c r="D31" s="9" t="inlineStr"/>
    </row>
    <row r="33">
      <c r="A33" s="5" t="inlineStr">
        <is>
          <t>등가 두께 (docs/09 §1)</t>
        </is>
      </c>
      <c r="B33" s="5" t="n"/>
      <c r="C33" s="5" t="n"/>
      <c r="D33" s="5" t="n"/>
    </row>
    <row r="34">
      <c r="A34" s="6" t="inlineStr">
        <is>
          <t>항목</t>
        </is>
      </c>
      <c r="B34" s="6" t="inlineStr">
        <is>
          <t>값</t>
        </is>
      </c>
      <c r="C34" s="6" t="inlineStr">
        <is>
          <t>단위</t>
        </is>
      </c>
      <c r="D34" s="6" t="inlineStr">
        <is>
          <t>비고 / 수식 근거</t>
        </is>
      </c>
    </row>
    <row r="35">
      <c r="A35" s="7" t="inlineStr">
        <is>
          <t>t_b = √(12 D11/A11)</t>
        </is>
      </c>
      <c r="B35" s="14">
        <f>SQRT(12*D_11/A_11)</f>
        <v/>
      </c>
      <c r="C35" s="7" t="inlineStr">
        <is>
          <t>mm</t>
        </is>
      </c>
      <c r="D35" s="9" t="inlineStr">
        <is>
          <t>굽힘–막 정합 (11/12/22 공통)</t>
        </is>
      </c>
    </row>
    <row r="36">
      <c r="A36" s="7" t="inlineStr">
        <is>
          <t>√(12 D22/A22) (검사)</t>
        </is>
      </c>
      <c r="B36" s="14">
        <f>SQRT(12*D_22/A_22)</f>
        <v/>
      </c>
      <c r="C36" s="7" t="inlineStr">
        <is>
          <t>mm</t>
        </is>
      </c>
      <c r="D36" s="9" t="inlineStr">
        <is>
          <t>t_b 와 같아야 함</t>
        </is>
      </c>
    </row>
    <row r="37">
      <c r="A37" s="7" t="inlineStr">
        <is>
          <t>t_s = √(12 D66/A66) = hλ</t>
        </is>
      </c>
      <c r="B37" s="14">
        <f>SQRT(12*D_66/A_66)</f>
        <v/>
      </c>
      <c r="C37" s="7" t="inlineStr">
        <is>
          <t>mm</t>
        </is>
      </c>
      <c r="D37" s="9" t="inlineStr">
        <is>
          <t>전단–비틀림 정합</t>
        </is>
      </c>
    </row>
    <row r="38">
      <c r="A38" s="7" t="inlineStr">
        <is>
          <t>t_m = hλ</t>
        </is>
      </c>
      <c r="B38" s="14">
        <f>h_calc*lam</f>
        <v/>
      </c>
      <c r="C38" s="7" t="inlineStr">
        <is>
          <t>mm</t>
        </is>
      </c>
      <c r="D38" s="9" t="inlineStr">
        <is>
          <t>질량·전개면적</t>
        </is>
      </c>
    </row>
    <row r="40">
      <c r="A40" s="5" t="inlineStr">
        <is>
          <t>균질 직교이방성 단일층 (t_e = t_b, 간이 검토용 — 조립체 FE 에는 GENS 절 사용)</t>
        </is>
      </c>
      <c r="B40" s="5" t="n"/>
      <c r="C40" s="5" t="n"/>
      <c r="D40" s="5" t="n"/>
    </row>
    <row r="41">
      <c r="A41" s="6" t="inlineStr">
        <is>
          <t>항목</t>
        </is>
      </c>
      <c r="B41" s="6" t="inlineStr">
        <is>
          <t>값</t>
        </is>
      </c>
      <c r="C41" s="6" t="inlineStr">
        <is>
          <t>단위</t>
        </is>
      </c>
      <c r="D41" s="6" t="inlineStr">
        <is>
          <t>비고 / 수식 근거</t>
        </is>
      </c>
    </row>
    <row r="42">
      <c r="A42" s="7" t="inlineStr">
        <is>
          <t>E_x</t>
        </is>
      </c>
      <c r="B42" s="17">
        <f>(A_11*A_22-A_12^2)/(A_22*t_b)</f>
        <v/>
      </c>
      <c r="C42" s="7" t="inlineStr">
        <is>
          <t>MPa</t>
        </is>
      </c>
      <c r="D42" s="9" t="inlineStr"/>
    </row>
    <row r="43">
      <c r="A43" s="7" t="inlineStr">
        <is>
          <t>E_y</t>
        </is>
      </c>
      <c r="B43" s="17">
        <f>(A_11*A_22-A_12^2)/(A_11*t_b)</f>
        <v/>
      </c>
      <c r="C43" s="7" t="inlineStr">
        <is>
          <t>MPa</t>
        </is>
      </c>
      <c r="D43" s="9" t="inlineStr"/>
    </row>
    <row r="44">
      <c r="A44" s="7" t="inlineStr">
        <is>
          <t>ν_xy</t>
        </is>
      </c>
      <c r="B44" s="14">
        <f>A_12/A_22</f>
        <v/>
      </c>
      <c r="C44" s="7" t="inlineStr"/>
      <c r="D44" s="9" t="inlineStr"/>
    </row>
    <row r="45">
      <c r="A45" s="7" t="inlineStr">
        <is>
          <t>G_xy (A66 기준)</t>
        </is>
      </c>
      <c r="B45" s="17">
        <f>A_66/t_b</f>
        <v/>
      </c>
      <c r="C45" s="7" t="inlineStr">
        <is>
          <t>MPa</t>
        </is>
      </c>
      <c r="D45" s="9" t="inlineStr">
        <is>
          <t>D66 오차 → 아래</t>
        </is>
      </c>
    </row>
    <row r="46">
      <c r="A46" s="7" t="inlineStr">
        <is>
          <t xml:space="preserve">  → D66 재현 오차</t>
        </is>
      </c>
      <c r="B46" s="14">
        <f>(GA_h*t_b^3/12/D_66-1)*100</f>
        <v/>
      </c>
      <c r="C46" s="7" t="inlineStr">
        <is>
          <t>%</t>
        </is>
      </c>
      <c r="D46" s="9" t="inlineStr"/>
    </row>
    <row r="47">
      <c r="A47" s="7" t="inlineStr">
        <is>
          <t>G_xy (D66 기준)</t>
        </is>
      </c>
      <c r="B47" s="17">
        <f>12*D_66/t_b^3</f>
        <v/>
      </c>
      <c r="C47" s="7" t="inlineStr">
        <is>
          <t>MPa</t>
        </is>
      </c>
      <c r="D47" s="9" t="inlineStr">
        <is>
          <t>A66 오차 → 아래</t>
        </is>
      </c>
    </row>
    <row r="48">
      <c r="A48" s="7" t="inlineStr">
        <is>
          <t xml:space="preserve">  → A66 재현 오차</t>
        </is>
      </c>
      <c r="B48" s="14">
        <f>(GD_h*t_b/A_66-1)*100</f>
        <v/>
      </c>
      <c r="C48" s="7" t="inlineStr">
        <is>
          <t>%</t>
        </is>
      </c>
      <c r="D48" s="9" t="inlineStr"/>
    </row>
    <row r="50">
      <c r="A50" s="5" t="inlineStr">
        <is>
          <t>응력집중 (Briassoulis 1986 B2)</t>
        </is>
      </c>
      <c r="B50" s="5" t="n"/>
      <c r="C50" s="5" t="n"/>
      <c r="D50" s="5" t="n"/>
    </row>
    <row r="51">
      <c r="A51" s="6" t="inlineStr">
        <is>
          <t>항목</t>
        </is>
      </c>
      <c r="B51" s="6" t="inlineStr">
        <is>
          <t>값</t>
        </is>
      </c>
      <c r="C51" s="6" t="inlineStr">
        <is>
          <t>단위</t>
        </is>
      </c>
      <c r="D51" s="6" t="inlineStr">
        <is>
          <t>비고 / 수식 근거</t>
        </is>
      </c>
    </row>
    <row r="52">
      <c r="A52" s="7" t="inlineStr">
        <is>
          <t>K_t = 1 + 6f/h (능선 가로 인장, 내측)</t>
        </is>
      </c>
      <c r="B52" s="14">
        <f>1+6*f_/h_calc</f>
        <v/>
      </c>
      <c r="C52" s="7" t="inlineStr"/>
      <c r="D52" s="9" t="inlineStr">
        <is>
          <t>σ_s,inner / (N_x/h)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90" customWidth="1" min="4" max="4"/>
  </cols>
  <sheetData>
    <row r="1">
      <c r="A1" s="1" t="inlineStr">
        <is>
          <t>판축 영역 강성 (docs/07) 및 ANSYS preintegrated general shell section 입력 (docs/09 §2)</t>
        </is>
      </c>
    </row>
    <row r="4">
      <c r="A4" s="5" t="inlineStr">
        <is>
          <t>회전각</t>
        </is>
      </c>
      <c r="B4" s="5" t="n"/>
      <c r="C4" s="5" t="n"/>
      <c r="D4" s="5" t="n"/>
    </row>
    <row r="5">
      <c r="A5" s="6" t="inlineStr">
        <is>
          <t>항목</t>
        </is>
      </c>
      <c r="B5" s="6" t="inlineStr">
        <is>
          <t>값</t>
        </is>
      </c>
      <c r="C5" s="6" t="inlineStr">
        <is>
          <t>단위</t>
        </is>
      </c>
      <c r="D5" s="6" t="inlineStr">
        <is>
          <t>비고 / 수식 근거</t>
        </is>
      </c>
    </row>
    <row r="6">
      <c r="A6" s="7" t="inlineStr">
        <is>
          <t>우측 영역 θ_R = −β</t>
        </is>
      </c>
      <c r="B6" s="7">
        <f>-beta</f>
        <v/>
      </c>
      <c r="C6" s="7" t="inlineStr">
        <is>
          <t>rad</t>
        </is>
      </c>
      <c r="D6" s="9" t="inlineStr">
        <is>
          <t>능선이 +β 방향인 영역</t>
        </is>
      </c>
    </row>
    <row r="7">
      <c r="A7" s="7" t="inlineStr">
        <is>
          <t>좌측 영역 θ_L = +β</t>
        </is>
      </c>
      <c r="B7" s="7">
        <f>beta</f>
        <v/>
      </c>
      <c r="C7" s="7" t="inlineStr">
        <is>
          <t>rad</t>
        </is>
      </c>
      <c r="D7" s="9" t="inlineStr"/>
    </row>
    <row r="8">
      <c r="A8" s="4" t="inlineStr">
        <is>
          <t>Q̄ 폐형식 (Jones 1975): m=cosθ, n=sinθ.  11: q11m⁴+2(q12+2q66)n²m²+q22n⁴ ; 22: q11n⁴+…+q22m⁴ ; 12: (q11+q22−4q66)n²m²+q12(n⁴+m⁴)</t>
        </is>
      </c>
    </row>
    <row r="9">
      <c r="A9" s="4" t="inlineStr">
        <is>
          <t>66: (q11+q22−2q12−2q66)n²m²+q66(n⁴+m⁴) ; 16: (q11−q12−2q66)nm³+(q12−q22+2q66)n³m ; 26: (q11−q12−2q66)n³m+(q12−q22+2q66)nm³</t>
        </is>
      </c>
    </row>
    <row r="11">
      <c r="A11" s="6" t="inlineStr">
        <is>
          <t>성분</t>
        </is>
      </c>
      <c r="B11" s="6" t="inlineStr">
        <is>
          <t>우측 영역 (θ=−β)</t>
        </is>
      </c>
      <c r="C11" s="6" t="inlineStr">
        <is>
          <t>좌측 영역 (θ=+β)</t>
        </is>
      </c>
      <c r="D11" s="6" t="inlineStr">
        <is>
          <t>비고</t>
        </is>
      </c>
    </row>
    <row r="12">
      <c r="A12" s="7" t="inlineStr">
        <is>
          <t>A11</t>
        </is>
      </c>
      <c r="B12" s="17">
        <f>A_11*COS(th_R)^4+2*(A_12+2*A_66)*SIN(th_R)^2*COS(th_R)^2+A_22*SIN(th_R)^4</f>
        <v/>
      </c>
      <c r="C12" s="17">
        <f>A_11*COS(th_L)^4+2*(A_12+2*A_66)*SIN(th_L)^2*COS(th_L)^2+A_22*SIN(th_L)^4</f>
        <v/>
      </c>
      <c r="D12" s="9" t="inlineStr">
        <is>
          <t>N/mm</t>
        </is>
      </c>
    </row>
    <row r="13">
      <c r="A13" s="7" t="inlineStr">
        <is>
          <t>A22</t>
        </is>
      </c>
      <c r="B13" s="17">
        <f>A_11*SIN(th_R)^4+2*(A_12+2*A_66)*SIN(th_R)^2*COS(th_R)^2+A_22*COS(th_R)^4</f>
        <v/>
      </c>
      <c r="C13" s="17">
        <f>A_11*SIN(th_L)^4+2*(A_12+2*A_66)*SIN(th_L)^2*COS(th_L)^2+A_22*COS(th_L)^4</f>
        <v/>
      </c>
      <c r="D13" s="9" t="inlineStr">
        <is>
          <t>N/mm</t>
        </is>
      </c>
    </row>
    <row r="14">
      <c r="A14" s="7" t="inlineStr">
        <is>
          <t>A12</t>
        </is>
      </c>
      <c r="B14" s="17">
        <f>(A_11+A_22-4*A_66)*SIN(th_R)^2*COS(th_R)^2+A_12*(SIN(th_R)^4+COS(th_R)^4)</f>
        <v/>
      </c>
      <c r="C14" s="17">
        <f>(A_11+A_22-4*A_66)*SIN(th_L)^2*COS(th_L)^2+A_12*(SIN(th_L)^4+COS(th_L)^4)</f>
        <v/>
      </c>
      <c r="D14" s="9" t="inlineStr">
        <is>
          <t>N/mm</t>
        </is>
      </c>
    </row>
    <row r="15">
      <c r="A15" s="7" t="inlineStr">
        <is>
          <t>A66</t>
        </is>
      </c>
      <c r="B15" s="17">
        <f>(A_11+A_22-2*A_12-2*A_66)*SIN(th_R)^2*COS(th_R)^2+A_66*(SIN(th_R)^4+COS(th_R)^4)</f>
        <v/>
      </c>
      <c r="C15" s="17">
        <f>(A_11+A_22-2*A_12-2*A_66)*SIN(th_L)^2*COS(th_L)^2+A_66*(SIN(th_L)^4+COS(th_L)^4)</f>
        <v/>
      </c>
      <c r="D15" s="9" t="inlineStr">
        <is>
          <t>N/mm</t>
        </is>
      </c>
    </row>
    <row r="16">
      <c r="A16" s="7" t="inlineStr">
        <is>
          <t>A16</t>
        </is>
      </c>
      <c r="B16" s="17">
        <f>(A_11-A_12-2*A_66)*SIN(th_R)*COS(th_R)^3+(A_12-A_22+2*A_66)*SIN(th_R)^3*COS(th_R)</f>
        <v/>
      </c>
      <c r="C16" s="17">
        <f>(A_11-A_12-2*A_66)*SIN(th_L)*COS(th_L)^3+(A_12-A_22+2*A_66)*SIN(th_L)^3*COS(th_L)</f>
        <v/>
      </c>
      <c r="D16" s="9" t="inlineStr">
        <is>
          <t>N/mm</t>
        </is>
      </c>
    </row>
    <row r="17">
      <c r="A17" s="7" t="inlineStr">
        <is>
          <t>A26</t>
        </is>
      </c>
      <c r="B17" s="17">
        <f>(A_11-A_12-2*A_66)*SIN(th_R)^3*COS(th_R)+(A_12-A_22+2*A_66)*SIN(th_R)*COS(th_R)^3</f>
        <v/>
      </c>
      <c r="C17" s="17">
        <f>(A_11-A_12-2*A_66)*SIN(th_L)^3*COS(th_L)+(A_12-A_22+2*A_66)*SIN(th_L)*COS(th_L)^3</f>
        <v/>
      </c>
      <c r="D17" s="9" t="inlineStr">
        <is>
          <t>N/mm</t>
        </is>
      </c>
    </row>
    <row r="18">
      <c r="A18" s="7" t="inlineStr">
        <is>
          <t>D11</t>
        </is>
      </c>
      <c r="B18" s="17">
        <f>D_11*COS(th_R)^4+2*(D_12+2*D_66)*SIN(th_R)^2*COS(th_R)^2+D_22*SIN(th_R)^4</f>
        <v/>
      </c>
      <c r="C18" s="17">
        <f>D_11*COS(th_L)^4+2*(D_12+2*D_66)*SIN(th_L)^2*COS(th_L)^2+D_22*SIN(th_L)^4</f>
        <v/>
      </c>
      <c r="D18" s="9" t="inlineStr">
        <is>
          <t>N·mm</t>
        </is>
      </c>
    </row>
    <row r="19">
      <c r="A19" s="7" t="inlineStr">
        <is>
          <t>D22</t>
        </is>
      </c>
      <c r="B19" s="17">
        <f>D_11*SIN(th_R)^4+2*(D_12+2*D_66)*SIN(th_R)^2*COS(th_R)^2+D_22*COS(th_R)^4</f>
        <v/>
      </c>
      <c r="C19" s="17">
        <f>D_11*SIN(th_L)^4+2*(D_12+2*D_66)*SIN(th_L)^2*COS(th_L)^2+D_22*COS(th_L)^4</f>
        <v/>
      </c>
      <c r="D19" s="9" t="inlineStr">
        <is>
          <t>N·mm</t>
        </is>
      </c>
    </row>
    <row r="20">
      <c r="A20" s="7" t="inlineStr">
        <is>
          <t>D12</t>
        </is>
      </c>
      <c r="B20" s="17">
        <f>(D_11+D_22-4*D_66)*SIN(th_R)^2*COS(th_R)^2+D_12*(SIN(th_R)^4+COS(th_R)^4)</f>
        <v/>
      </c>
      <c r="C20" s="17">
        <f>(D_11+D_22-4*D_66)*SIN(th_L)^2*COS(th_L)^2+D_12*(SIN(th_L)^4+COS(th_L)^4)</f>
        <v/>
      </c>
      <c r="D20" s="9" t="inlineStr">
        <is>
          <t>N·mm</t>
        </is>
      </c>
    </row>
    <row r="21">
      <c r="A21" s="7" t="inlineStr">
        <is>
          <t>D66</t>
        </is>
      </c>
      <c r="B21" s="17">
        <f>(D_11+D_22-2*D_12-2*D_66)*SIN(th_R)^2*COS(th_R)^2+D_66*(SIN(th_R)^4+COS(th_R)^4)</f>
        <v/>
      </c>
      <c r="C21" s="17">
        <f>(D_11+D_22-2*D_12-2*D_66)*SIN(th_L)^2*COS(th_L)^2+D_66*(SIN(th_L)^4+COS(th_L)^4)</f>
        <v/>
      </c>
      <c r="D21" s="9" t="inlineStr">
        <is>
          <t>N·mm</t>
        </is>
      </c>
    </row>
    <row r="22">
      <c r="A22" s="7" t="inlineStr">
        <is>
          <t>D16</t>
        </is>
      </c>
      <c r="B22" s="17">
        <f>(D_11-D_12-2*D_66)*SIN(th_R)*COS(th_R)^3+(D_12-D_22+2*D_66)*SIN(th_R)^3*COS(th_R)</f>
        <v/>
      </c>
      <c r="C22" s="17">
        <f>(D_11-D_12-2*D_66)*SIN(th_L)*COS(th_L)^3+(D_12-D_22+2*D_66)*SIN(th_L)^3*COS(th_L)</f>
        <v/>
      </c>
      <c r="D22" s="9" t="inlineStr">
        <is>
          <t>N·mm</t>
        </is>
      </c>
    </row>
    <row r="23">
      <c r="A23" s="7" t="inlineStr">
        <is>
          <t>D26</t>
        </is>
      </c>
      <c r="B23" s="17">
        <f>(D_11-D_12-2*D_66)*SIN(th_R)^3*COS(th_R)+(D_12-D_22+2*D_66)*SIN(th_R)*COS(th_R)^3</f>
        <v/>
      </c>
      <c r="C23" s="17">
        <f>(D_11-D_12-2*D_66)*SIN(th_L)^3*COS(th_L)+(D_12-D_22+2*D_66)*SIN(th_L)*COS(th_L)^3</f>
        <v/>
      </c>
      <c r="D23" s="9" t="inlineStr">
        <is>
          <t>N·mm</t>
        </is>
      </c>
    </row>
    <row r="25">
      <c r="A25" s="5" t="inlineStr">
        <is>
          <t>횡전단·질량 (Mindlin 쉘 보조량, docs/09 §2 항 5–6)</t>
        </is>
      </c>
      <c r="B25" s="5" t="n"/>
      <c r="C25" s="5" t="n"/>
      <c r="D25" s="5" t="n"/>
    </row>
    <row r="26">
      <c r="A26" s="6" t="inlineStr">
        <is>
          <t>항목</t>
        </is>
      </c>
      <c r="B26" s="6" t="inlineStr">
        <is>
          <t>값</t>
        </is>
      </c>
      <c r="C26" s="6" t="inlineStr">
        <is>
          <t>단위</t>
        </is>
      </c>
      <c r="D26" s="6" t="inlineStr">
        <is>
          <t>비고 / 수식 근거</t>
        </is>
      </c>
    </row>
    <row r="27">
      <c r="A27" s="7" t="inlineStr">
        <is>
          <t>횡전단 E11 = E22 = (5/6) G h λ</t>
        </is>
      </c>
      <c r="B27" s="17">
        <f>5/6*G_*h_calc*lam</f>
        <v/>
      </c>
      <c r="C27" s="7" t="inlineStr">
        <is>
          <t>N/mm</t>
        </is>
      </c>
      <c r="D27" s="9" t="inlineStr">
        <is>
          <t>1차 추정 — E단계 ×0.1/×10 감도 확인</t>
        </is>
      </c>
    </row>
    <row r="28">
      <c r="A28" s="7" t="inlineStr">
        <is>
          <t>단위두께 가정 밀도 = ρ h λ</t>
        </is>
      </c>
      <c r="B28" s="15">
        <f>in_rho*h_calc*lam</f>
        <v/>
      </c>
      <c r="C28" s="7" t="inlineStr">
        <is>
          <t>tonne/mm²</t>
        </is>
      </c>
      <c r="D28" s="9" t="inlineStr">
        <is>
          <t>SSPM</t>
        </is>
      </c>
    </row>
    <row r="30">
      <c r="A30" s="5" t="inlineStr">
        <is>
          <t>ANSYS APDL 문자열 (복사용; 인자 순서 SSPA/SSPD: 11,21,31,22,32,33 — 3 = xy; 판축 요소좌표계)</t>
        </is>
      </c>
      <c r="B30" s="5" t="n"/>
      <c r="C30" s="5" t="n"/>
      <c r="D30" s="5" t="n"/>
    </row>
    <row r="31">
      <c r="A31" s="6" t="inlineStr">
        <is>
          <t>항목</t>
        </is>
      </c>
      <c r="B31" s="6" t="inlineStr">
        <is>
          <t>값</t>
        </is>
      </c>
      <c r="C31" s="6" t="inlineStr">
        <is>
          <t>단위</t>
        </is>
      </c>
      <c r="D31" s="6" t="inlineStr">
        <is>
          <t>비고 / 수식 근거</t>
        </is>
      </c>
    </row>
    <row r="32">
      <c r="A32" s="7" t="inlineStr">
        <is>
          <t>우측 SECTYPE</t>
        </is>
      </c>
      <c r="B32" s="7">
        <f>"SECTYPE,11,GENS,,SPHX_R   ! zone R, theta = -beta, element CS = plate axes"</f>
        <v/>
      </c>
      <c r="C32" s="7" t="inlineStr"/>
      <c r="D32" s="9" t="inlineStr"/>
    </row>
    <row r="33">
      <c r="A33" s="7" t="inlineStr">
        <is>
          <t>우측 SSPA</t>
        </is>
      </c>
      <c r="B33" s="7">
        <f>"SSPA,"&amp;TEXT(A_11_R,"0.000000E+00")&amp;","&amp;TEXT(A_12_R,"0.000000E+00")&amp;","&amp;TEXT(A_16_R,"0.000000E+00")&amp;","&amp;TEXT(A_22_R,"0.000000E+00")&amp;","&amp;TEXT(A_26_R,"0.000000E+00")&amp;","&amp;TEXT(A_66_R,"0.000000E+00")</f>
        <v/>
      </c>
      <c r="C33" s="7" t="inlineStr"/>
      <c r="D33" s="9" t="inlineStr">
        <is>
          <t>A11,A21,A31,A22,A32,A33</t>
        </is>
      </c>
    </row>
    <row r="34">
      <c r="A34" s="7" t="inlineStr">
        <is>
          <t>우측 SSPB</t>
        </is>
      </c>
      <c r="B34" s="7">
        <f>"SSPB,0,0,0,0,0,0   ! B = 0 (symmetric section)"</f>
        <v/>
      </c>
      <c r="C34" s="7" t="inlineStr"/>
      <c r="D34" s="9" t="inlineStr"/>
    </row>
    <row r="35">
      <c r="A35" s="7" t="inlineStr">
        <is>
          <t>우측 SSPD</t>
        </is>
      </c>
      <c r="B35" s="7">
        <f>"SSPD,"&amp;TEXT(D_11_R,"0.000000E+00")&amp;","&amp;TEXT(D_12_R,"0.000000E+00")&amp;","&amp;TEXT(D_16_R,"0.000000E+00")&amp;","&amp;TEXT(D_22_R,"0.000000E+00")&amp;","&amp;TEXT(D_26_R,"0.000000E+00")&amp;","&amp;TEXT(D_66_R,"0.000000E+00")&amp;"   ! D33/16/26 twist convention: verify (E-1)"</f>
        <v/>
      </c>
      <c r="C35" s="7" t="inlineStr"/>
      <c r="D35" s="9" t="inlineStr">
        <is>
          <t>D11,D21,D31,D22,D32,D33</t>
        </is>
      </c>
    </row>
    <row r="36">
      <c r="A36" s="7" t="inlineStr">
        <is>
          <t>우측 SSPE</t>
        </is>
      </c>
      <c r="B36" s="7">
        <f>"SSPE,"&amp;TEXT(E_ts,"0.000000E+00")&amp;",0,"&amp;TEXT(E_ts,"0.000000E+00")&amp;"   ! transverse shear estimate"</f>
        <v/>
      </c>
      <c r="C36" s="7" t="inlineStr"/>
      <c r="D36" s="9" t="inlineStr"/>
    </row>
    <row r="37">
      <c r="A37" s="7" t="inlineStr">
        <is>
          <t>우측 SSPM</t>
        </is>
      </c>
      <c r="B37" s="7">
        <f>"SSPM,"&amp;TEXT(dens_a,"0.000000E+00")&amp;"   ! density assuming unit thickness = rho*h*lambda"</f>
        <v/>
      </c>
      <c r="C37" s="7" t="inlineStr"/>
      <c r="D37" s="9" t="inlineStr"/>
    </row>
    <row r="39">
      <c r="A39" s="7" t="inlineStr">
        <is>
          <t>좌측 SECTYPE</t>
        </is>
      </c>
      <c r="B39" s="7">
        <f>"SECTYPE,12,GENS,,SPHX_L   ! zone L, theta = +beta, element CS = plate axes"</f>
        <v/>
      </c>
      <c r="C39" s="7" t="inlineStr"/>
      <c r="D39" s="9" t="inlineStr"/>
    </row>
    <row r="40">
      <c r="A40" s="7" t="inlineStr">
        <is>
          <t>좌측 SSPA</t>
        </is>
      </c>
      <c r="B40" s="7">
        <f>"SSPA,"&amp;TEXT(A_11_L,"0.000000E+00")&amp;","&amp;TEXT(A_12_L,"0.000000E+00")&amp;","&amp;TEXT(A_16_L,"0.000000E+00")&amp;","&amp;TEXT(A_22_L,"0.000000E+00")&amp;","&amp;TEXT(A_26_L,"0.000000E+00")&amp;","&amp;TEXT(A_66_L,"0.000000E+00")</f>
        <v/>
      </c>
      <c r="C40" s="7" t="inlineStr"/>
      <c r="D40" s="9" t="inlineStr">
        <is>
          <t>A11,A21,A31,A22,A32,A33</t>
        </is>
      </c>
    </row>
    <row r="41">
      <c r="A41" s="7" t="inlineStr">
        <is>
          <t>좌측 SSPB</t>
        </is>
      </c>
      <c r="B41" s="7">
        <f>"SSPB,0,0,0,0,0,0   ! B = 0 (symmetric section)"</f>
        <v/>
      </c>
      <c r="C41" s="7" t="inlineStr"/>
      <c r="D41" s="9" t="inlineStr"/>
    </row>
    <row r="42">
      <c r="A42" s="7" t="inlineStr">
        <is>
          <t>좌측 SSPD</t>
        </is>
      </c>
      <c r="B42" s="7">
        <f>"SSPD,"&amp;TEXT(D_11_L,"0.000000E+00")&amp;","&amp;TEXT(D_12_L,"0.000000E+00")&amp;","&amp;TEXT(D_16_L,"0.000000E+00")&amp;","&amp;TEXT(D_22_L,"0.000000E+00")&amp;","&amp;TEXT(D_26_L,"0.000000E+00")&amp;","&amp;TEXT(D_66_L,"0.000000E+00")&amp;"   ! D33/16/26 twist convention: verify (E-1)"</f>
        <v/>
      </c>
      <c r="C42" s="7" t="inlineStr"/>
      <c r="D42" s="9" t="inlineStr">
        <is>
          <t>D11,D21,D31,D22,D32,D33</t>
        </is>
      </c>
    </row>
    <row r="43">
      <c r="A43" s="7" t="inlineStr">
        <is>
          <t>좌측 SSPE</t>
        </is>
      </c>
      <c r="B43" s="7">
        <f>"SSPE,"&amp;TEXT(E_ts,"0.000000E+00")&amp;",0,"&amp;TEXT(E_ts,"0.000000E+00")&amp;"   ! transverse shear estimate"</f>
        <v/>
      </c>
      <c r="C43" s="7" t="inlineStr"/>
      <c r="D43" s="9" t="inlineStr"/>
    </row>
    <row r="44">
      <c r="A44" s="7" t="inlineStr">
        <is>
          <t>좌측 SSPM</t>
        </is>
      </c>
      <c r="B44" s="7">
        <f>"SSPM,"&amp;TEXT(dens_a,"0.000000E+00")&amp;"   ! density assuming unit thickness = rho*h*lambda"</f>
        <v/>
      </c>
      <c r="C44" s="7" t="inlineStr"/>
      <c r="D44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90" customWidth="1" min="4" max="4"/>
    <col width="16" customWidth="1" min="5" max="5"/>
    <col width="16" customWidth="1" min="6" max="6"/>
  </cols>
  <sheetData>
    <row r="1">
      <c r="A1" s="1" t="inlineStr">
        <is>
          <t>하중 케이스 → 국부축 합력 → VAM 복원 (Ye 2014 Eq. 14, 20; docs/09 §3) — 산·골 응력과 판정</t>
        </is>
      </c>
    </row>
    <row r="4">
      <c r="A4" s="5" t="inlineStr">
        <is>
          <t>하중 케이스 합력 → 국부축 (transform.resultants_to_local, T_σ)</t>
        </is>
      </c>
      <c r="B4" s="5" t="n"/>
      <c r="C4" s="5" t="n"/>
      <c r="D4" s="5" t="n"/>
    </row>
    <row r="5">
      <c r="A5" s="6" t="inlineStr">
        <is>
          <t>항목</t>
        </is>
      </c>
      <c r="B5" s="6" t="inlineStr">
        <is>
          <t>값</t>
        </is>
      </c>
      <c r="C5" s="6" t="inlineStr">
        <is>
          <t>단위</t>
        </is>
      </c>
      <c r="D5" s="6" t="inlineStr">
        <is>
          <t>비고 / 수식 근거</t>
        </is>
      </c>
    </row>
    <row r="6">
      <c r="A6" s="7" t="inlineStr">
        <is>
          <t>θ (plate 축일 때)</t>
        </is>
      </c>
      <c r="B6" s="7">
        <f>IF(lc_axes="plate",IF(lc_zone="right",-beta,beta),0)</f>
        <v/>
      </c>
      <c r="C6" s="7" t="inlineStr">
        <is>
          <t>rad</t>
        </is>
      </c>
      <c r="D6" s="9" t="inlineStr">
        <is>
          <t>local 축이면 0 (변환 없음)</t>
        </is>
      </c>
    </row>
    <row r="7">
      <c r="A7" s="7" t="inlineStr">
        <is>
          <t>m = cosθ</t>
        </is>
      </c>
      <c r="B7" s="7">
        <f>COS(th_lc)</f>
        <v/>
      </c>
      <c r="C7" s="7" t="inlineStr"/>
      <c r="D7" s="9" t="inlineStr"/>
    </row>
    <row r="8">
      <c r="A8" s="7" t="inlineStr">
        <is>
          <t>n = sinθ</t>
        </is>
      </c>
      <c r="B8" s="7">
        <f>SIN(th_lc)</f>
        <v/>
      </c>
      <c r="C8" s="7" t="inlineStr"/>
      <c r="D8" s="9" t="inlineStr"/>
    </row>
    <row r="9">
      <c r="A9" s="7" t="inlineStr">
        <is>
          <t>N_x (국부)</t>
        </is>
      </c>
      <c r="B9" s="14">
        <f>lc_Nx*mm_^2+lc_Ny*nn_^2+2*lc_Nxy*mm_*nn_</f>
        <v/>
      </c>
      <c r="C9" s="7" t="inlineStr">
        <is>
          <t>N/mm</t>
        </is>
      </c>
      <c r="D9" s="9" t="inlineStr">
        <is>
          <t>T_σ 1행: m², n², 2mn</t>
        </is>
      </c>
    </row>
    <row r="10">
      <c r="A10" s="7" t="inlineStr">
        <is>
          <t>N_y (국부)</t>
        </is>
      </c>
      <c r="B10" s="14">
        <f>lc_Nx*nn_^2+lc_Ny*mm_^2-2*lc_Nxy*mm_*nn_</f>
        <v/>
      </c>
      <c r="C10" s="7" t="inlineStr">
        <is>
          <t>N/mm</t>
        </is>
      </c>
      <c r="D10" s="9" t="inlineStr">
        <is>
          <t>n², m², −2mn</t>
        </is>
      </c>
    </row>
    <row r="11">
      <c r="A11" s="7" t="inlineStr">
        <is>
          <t>N_xy (국부)</t>
        </is>
      </c>
      <c r="B11" s="14">
        <f>-lc_Nx*mm_*nn_+lc_Ny*mm_*nn_+lc_Nxy*(mm_^2-nn_^2)</f>
        <v/>
      </c>
      <c r="C11" s="7" t="inlineStr">
        <is>
          <t>N/mm</t>
        </is>
      </c>
      <c r="D11" s="9" t="inlineStr">
        <is>
          <t>−mn, mn, m²−n²</t>
        </is>
      </c>
    </row>
    <row r="12">
      <c r="A12" s="7" t="inlineStr">
        <is>
          <t>M_x (국부)</t>
        </is>
      </c>
      <c r="B12" s="14">
        <f>lc_Mx*mm_^2+lc_My*nn_^2+2*lc_Mxy*mm_*nn_</f>
        <v/>
      </c>
      <c r="C12" s="7" t="inlineStr">
        <is>
          <t>N·mm/mm</t>
        </is>
      </c>
      <c r="D12" s="9" t="inlineStr"/>
    </row>
    <row r="13">
      <c r="A13" s="7" t="inlineStr">
        <is>
          <t>M_y (국부)</t>
        </is>
      </c>
      <c r="B13" s="14">
        <f>lc_Mx*nn_^2+lc_My*mm_^2-2*lc_Mxy*mm_*nn_</f>
        <v/>
      </c>
      <c r="C13" s="7" t="inlineStr">
        <is>
          <t>N·mm/mm</t>
        </is>
      </c>
      <c r="D13" s="9" t="inlineStr"/>
    </row>
    <row r="14">
      <c r="A14" s="7" t="inlineStr">
        <is>
          <t>M_xy (국부)</t>
        </is>
      </c>
      <c r="B14" s="14">
        <f>-lc_Mx*mm_*nn_+lc_My*mm_*nn_+lc_Mxy*(mm_^2-nn_^2)</f>
        <v/>
      </c>
      <c r="C14" s="7" t="inlineStr">
        <is>
          <t>N·mm/mm</t>
        </is>
      </c>
      <c r="D14" s="9" t="inlineStr"/>
    </row>
    <row r="16">
      <c r="A16" s="5" t="inlineStr">
        <is>
          <t>거시 변형률 (채택식 역행렬)</t>
        </is>
      </c>
      <c r="B16" s="5" t="n"/>
      <c r="C16" s="5" t="n"/>
      <c r="D16" s="5" t="n"/>
    </row>
    <row r="17">
      <c r="A17" s="6" t="inlineStr">
        <is>
          <t>항목</t>
        </is>
      </c>
      <c r="B17" s="6" t="inlineStr">
        <is>
          <t>값</t>
        </is>
      </c>
      <c r="C17" s="6" t="inlineStr">
        <is>
          <t>단위</t>
        </is>
      </c>
      <c r="D17" s="6" t="inlineStr">
        <is>
          <t>비고 / 수식 근거</t>
        </is>
      </c>
    </row>
    <row r="18">
      <c r="A18" s="7" t="inlineStr">
        <is>
          <t>det A (11,22 블록)</t>
        </is>
      </c>
      <c r="B18" s="17">
        <f>A_11*A_22-A_12^2</f>
        <v/>
      </c>
      <c r="C18" s="7" t="inlineStr"/>
      <c r="D18" s="9" t="inlineStr"/>
    </row>
    <row r="19">
      <c r="A19" s="7" t="inlineStr">
        <is>
          <t>ε_xx</t>
        </is>
      </c>
      <c r="B19" s="15">
        <f>(A_22*Nx-A_12*Ny)/detA</f>
        <v/>
      </c>
      <c r="C19" s="7" t="inlineStr"/>
      <c r="D19" s="9" t="inlineStr"/>
    </row>
    <row r="20">
      <c r="A20" s="7" t="inlineStr">
        <is>
          <t>ε_yy</t>
        </is>
      </c>
      <c r="B20" s="15">
        <f>(-A_12*Nx+A_11*Ny)/detA</f>
        <v/>
      </c>
      <c r="C20" s="7" t="inlineStr"/>
      <c r="D20" s="9" t="inlineStr"/>
    </row>
    <row r="21">
      <c r="A21" s="7" t="inlineStr">
        <is>
          <t>γ_xy = 2ε_xy</t>
        </is>
      </c>
      <c r="B21" s="15">
        <f>Nxy/A_66</f>
        <v/>
      </c>
      <c r="C21" s="7" t="inlineStr"/>
      <c r="D21" s="9" t="inlineStr"/>
    </row>
    <row r="22">
      <c r="A22" s="7" t="inlineStr">
        <is>
          <t>det D (11,22 블록)</t>
        </is>
      </c>
      <c r="B22" s="17">
        <f>D_11*D_22-D_12^2</f>
        <v/>
      </c>
      <c r="C22" s="7" t="inlineStr"/>
      <c r="D22" s="9" t="inlineStr"/>
    </row>
    <row r="23">
      <c r="A23" s="7" t="inlineStr">
        <is>
          <t>κ_xx</t>
        </is>
      </c>
      <c r="B23" s="15">
        <f>(D_22*Mx-D_12*My)/detD</f>
        <v/>
      </c>
      <c r="C23" s="7" t="inlineStr">
        <is>
          <t>1/mm</t>
        </is>
      </c>
      <c r="D23" s="9" t="inlineStr"/>
    </row>
    <row r="24">
      <c r="A24" s="7" t="inlineStr">
        <is>
          <t>κ_yy</t>
        </is>
      </c>
      <c r="B24" s="15">
        <f>(-D_12*Mx+D_11*My)/detD</f>
        <v/>
      </c>
      <c r="C24" s="7" t="inlineStr">
        <is>
          <t>1/mm</t>
        </is>
      </c>
      <c r="D24" s="9" t="inlineStr"/>
    </row>
    <row r="25">
      <c r="A25" s="7" t="inlineStr">
        <is>
          <t>κ_xy (텐서)</t>
        </is>
      </c>
      <c r="B25" s="15">
        <f>Mxy/(2*D_66)</f>
        <v/>
      </c>
      <c r="C25" s="7" t="inlineStr">
        <is>
          <t>1/mm</t>
        </is>
      </c>
      <c r="D25" s="9" t="inlineStr">
        <is>
          <t>M_xy = D66·2κ_xy</t>
        </is>
      </c>
    </row>
    <row r="27">
      <c r="A27" s="5" t="inlineStr">
        <is>
          <t>VAM 복원 상수 (대칭 단면)</t>
        </is>
      </c>
      <c r="B27" s="5" t="n"/>
      <c r="C27" s="5" t="n"/>
      <c r="D27" s="5" t="n"/>
    </row>
    <row r="28">
      <c r="A28" s="6" t="inlineStr">
        <is>
          <t>항목</t>
        </is>
      </c>
      <c r="B28" s="6" t="inlineStr">
        <is>
          <t>값</t>
        </is>
      </c>
      <c r="C28" s="6" t="inlineStr">
        <is>
          <t>단위</t>
        </is>
      </c>
      <c r="D28" s="6" t="inlineStr">
        <is>
          <t>비고 / 수식 근거</t>
        </is>
      </c>
    </row>
    <row r="29">
      <c r="A29" s="7" t="inlineStr">
        <is>
          <t>𝒞 = −(12J2/h² + J1)</t>
        </is>
      </c>
      <c r="B29" s="14">
        <f>-(12*J_2/h_calc^2+J_1)</f>
        <v/>
      </c>
      <c r="C29" s="7" t="inlineStr"/>
      <c r="D29" s="9" t="inlineStr"/>
    </row>
    <row r="30">
      <c r="A30" s="7" t="inlineStr">
        <is>
          <t>c1 = −(ε_xx + ν ε_yy)/𝒞</t>
        </is>
      </c>
      <c r="B30" s="15">
        <f>-(exx+nu_*eyy)/CC</f>
        <v/>
      </c>
      <c r="C30" s="7" t="inlineStr"/>
      <c r="D30" s="9" t="inlineStr"/>
    </row>
    <row r="31">
      <c r="A31" s="7" t="inlineStr">
        <is>
          <t>c4 = (κ_xx + ν κ_yy)/λ</t>
        </is>
      </c>
      <c r="B31" s="15">
        <f>(kxx+nu_*kyy)/lam</f>
        <v/>
      </c>
      <c r="C31" s="7" t="inlineStr">
        <is>
          <t>1/mm</t>
        </is>
      </c>
      <c r="D31" s="9" t="inlineStr"/>
    </row>
    <row r="32">
      <c r="A32" s="7" t="inlineStr">
        <is>
          <t>c_h(산) = 1 + h²/(48R_c²)</t>
        </is>
      </c>
      <c r="B32" s="7">
        <f>1+h_calc^2/(48*Rc^2)</f>
        <v/>
      </c>
      <c r="C32" s="7" t="inlineStr"/>
      <c r="D32" s="9" t="inlineStr">
        <is>
          <t>두께 보정</t>
        </is>
      </c>
    </row>
    <row r="33">
      <c r="A33" s="7" t="inlineStr">
        <is>
          <t>c_h(골) = 1 + h²/(48R_v²)</t>
        </is>
      </c>
      <c r="B33" s="7">
        <f>1+h_calc^2/(48*Rv^2)</f>
        <v/>
      </c>
      <c r="C33" s="7" t="inlineStr"/>
      <c r="D33" s="9" t="inlineStr"/>
    </row>
    <row r="34">
      <c r="A34" s="7" t="inlineStr">
        <is>
          <t>⟨√a/c_h⟩·2c = 2R_cα/c_h,c + 2T_L + 2R_vα/c_h,v</t>
        </is>
      </c>
      <c r="B34" s="7">
        <f>2*Rc*alpha/ch_c+2*TL+2*Rv*alpha/ch_v</f>
        <v/>
      </c>
      <c r="C34" s="7" t="inlineStr">
        <is>
          <t>mm</t>
        </is>
      </c>
      <c r="D34" s="9" t="inlineStr">
        <is>
          <t>1주기 적분</t>
        </is>
      </c>
    </row>
    <row r="35">
      <c r="A35" s="7" t="inlineStr">
        <is>
          <t>α1 = 2c / 위</t>
        </is>
      </c>
      <c r="B35" s="7">
        <f>2*c_/inva1</f>
        <v/>
      </c>
      <c r="C35" s="7" t="inlineStr"/>
      <c r="D35" s="9" t="inlineStr"/>
    </row>
    <row r="36">
      <c r="A36" s="7" t="inlineStr">
        <is>
          <t>c2 = α1 γ_xy</t>
        </is>
      </c>
      <c r="B36" s="15">
        <f>alpha1*gxy</f>
        <v/>
      </c>
      <c r="C36" s="7" t="inlineStr"/>
      <c r="D36" s="9" t="inlineStr"/>
    </row>
    <row r="38">
      <c r="A38" s="5" t="inlineStr">
        <is>
          <t>산(crest, z=+f, κ=−1/R_c) 과 골(valley, z=−f, κ=+1/R_v) 의 물리 변형률 (√a = 1)</t>
        </is>
      </c>
      <c r="B38" s="5" t="n"/>
      <c r="C38" s="5" t="n"/>
      <c r="D38" s="5" t="n"/>
    </row>
    <row r="39">
      <c r="A39" s="6" t="inlineStr">
        <is>
          <t>항목</t>
        </is>
      </c>
      <c r="B39" s="6" t="inlineStr">
        <is>
          <t>값</t>
        </is>
      </c>
      <c r="C39" s="6" t="inlineStr">
        <is>
          <t>단위</t>
        </is>
      </c>
      <c r="D39" s="6" t="inlineStr">
        <is>
          <t>비고 / 수식 근거</t>
        </is>
      </c>
    </row>
    <row r="40">
      <c r="A40" s="6" t="inlineStr">
        <is>
          <t>량</t>
        </is>
      </c>
      <c r="B40" s="6" t="inlineStr">
        <is>
          <t>산 (crest)</t>
        </is>
      </c>
      <c r="C40" s="6" t="inlineStr">
        <is>
          <t>골 (valley)</t>
        </is>
      </c>
      <c r="D40" s="6" t="inlineStr">
        <is>
          <t>식</t>
        </is>
      </c>
    </row>
    <row r="41">
      <c r="A41" s="7" t="inlineStr">
        <is>
          <t>ε_s</t>
        </is>
      </c>
      <c r="B41" s="15">
        <f>c_1-nu_*(eyy+f_*kyy)</f>
        <v/>
      </c>
      <c r="C41" s="15">
        <f>c_1-nu_*(eyy-f_*kyy)</f>
        <v/>
      </c>
      <c r="D41" s="9" t="inlineStr">
        <is>
          <t>γ11/a = c1√a − νa(ε_yy + zκ_yy)</t>
        </is>
      </c>
    </row>
    <row r="42">
      <c r="A42" s="7" t="inlineStr">
        <is>
          <t>ε_y</t>
        </is>
      </c>
      <c r="B42" s="15">
        <f>eyy+f_*kyy</f>
        <v/>
      </c>
      <c r="C42" s="15">
        <f>eyy-f_*kyy</f>
        <v/>
      </c>
      <c r="D42" s="9" t="inlineStr">
        <is>
          <t>γ22 = ε_yy + zκ_yy</t>
        </is>
      </c>
    </row>
    <row r="43">
      <c r="A43" s="7" t="inlineStr">
        <is>
          <t>γ_sy</t>
        </is>
      </c>
      <c r="B43" s="15">
        <f>(c_2+h_calc^2*kxy/(12*Rc))/ch_c</f>
        <v/>
      </c>
      <c r="C43" s="15">
        <f>(c_2-h_calc^2*kxy/(12*Rv))/ch_v</f>
        <v/>
      </c>
      <c r="D43" s="9" t="inlineStr">
        <is>
          <t>2γ12/√a = (√a c2 − h² z'' κ_xy/(12a))/c_h,  z''=∓1/R</t>
        </is>
      </c>
    </row>
    <row r="44">
      <c r="A44" s="7" t="inlineStr">
        <is>
          <t>κ_s</t>
        </is>
      </c>
      <c r="B44" s="15">
        <f>12*c_1*f_/h_calc^2+c_4-nu_*kyy</f>
        <v/>
      </c>
      <c r="C44" s="15">
        <f>-12*c_1*f_/h_calc^2+c_4-nu_*kyy</f>
        <v/>
      </c>
      <c r="D44" s="9" t="inlineStr">
        <is>
          <t>ρ11/a = 12c1 z/h² + c4 − νκ_yy/√a</t>
        </is>
      </c>
    </row>
    <row r="45">
      <c r="A45" s="7" t="inlineStr">
        <is>
          <t>κ_y</t>
        </is>
      </c>
      <c r="B45" s="15">
        <f>kyy</f>
        <v/>
      </c>
      <c r="C45" s="15">
        <f>kyy</f>
        <v/>
      </c>
      <c r="D45" s="9" t="inlineStr">
        <is>
          <t>ρ22 = κ_yy/√a</t>
        </is>
      </c>
    </row>
    <row r="46">
      <c r="A46" s="7" t="inlineStr">
        <is>
          <t>2κ_sy</t>
        </is>
      </c>
      <c r="B46" s="15">
        <f>(-2*kxy-c_2/(2*Rc))/ch_c</f>
        <v/>
      </c>
      <c r="C46" s="15">
        <f>(-2*kxy+c_2/(2*Rv))/ch_v</f>
        <v/>
      </c>
      <c r="D46" s="9" t="inlineStr">
        <is>
          <t>2ρ12/√a = (−2√a κ_xy + z'' c2/(2a))/c_h</t>
        </is>
      </c>
    </row>
    <row r="48">
      <c r="A48" s="5" t="inlineStr">
        <is>
          <t>표면 응력 (ζ = +h/2 외측 / −h/2 내측;  e = ε − ζκ;  평면응력)  [MPa]</t>
        </is>
      </c>
      <c r="B48" s="5" t="n"/>
      <c r="C48" s="5" t="n"/>
      <c r="D48" s="5" t="n"/>
    </row>
    <row r="49">
      <c r="A49" s="6" t="inlineStr">
        <is>
          <t>항목</t>
        </is>
      </c>
      <c r="B49" s="6" t="inlineStr">
        <is>
          <t>값</t>
        </is>
      </c>
      <c r="C49" s="6" t="inlineStr">
        <is>
          <t>단위</t>
        </is>
      </c>
      <c r="D49" s="6" t="inlineStr">
        <is>
          <t>비고 / 수식 근거</t>
        </is>
      </c>
    </row>
    <row r="50">
      <c r="A50" s="6" t="inlineStr">
        <is>
          <t>량</t>
        </is>
      </c>
      <c r="B50" s="6" t="inlineStr">
        <is>
          <t>산 외측</t>
        </is>
      </c>
      <c r="C50" s="6" t="inlineStr">
        <is>
          <t>산 내측</t>
        </is>
      </c>
      <c r="D50" s="6" t="inlineStr">
        <is>
          <t>골 외측</t>
        </is>
      </c>
      <c r="E50" s="6" t="inlineStr">
        <is>
          <t>골 내측</t>
        </is>
      </c>
      <c r="F50" s="6" t="inlineStr">
        <is>
          <t>식</t>
        </is>
      </c>
    </row>
    <row r="51">
      <c r="A51" s="7" t="inlineStr">
        <is>
          <t>e_s</t>
        </is>
      </c>
      <c r="B51" s="15">
        <f>eps_s_c-(+h_calc/2)*kap_s_c</f>
        <v/>
      </c>
      <c r="C51" s="15">
        <f>eps_s_c-(-h_calc/2)*kap_s_c</f>
        <v/>
      </c>
      <c r="D51" s="15">
        <f>eps_s_v-(+h_calc/2)*kap_s_v</f>
        <v/>
      </c>
      <c r="E51" s="15">
        <f>eps_s_v-(-h_calc/2)*kap_s_v</f>
        <v/>
      </c>
      <c r="F51" s="9" t="inlineStr">
        <is>
          <t>ε_s − ζκ_s</t>
        </is>
      </c>
    </row>
    <row r="52">
      <c r="A52" s="7" t="inlineStr">
        <is>
          <t>e_y</t>
        </is>
      </c>
      <c r="B52" s="15">
        <f>eps_y_c-(+h_calc/2)*kap_y_c</f>
        <v/>
      </c>
      <c r="C52" s="15">
        <f>eps_y_c-(-h_calc/2)*kap_y_c</f>
        <v/>
      </c>
      <c r="D52" s="15">
        <f>eps_y_v-(+h_calc/2)*kap_y_v</f>
        <v/>
      </c>
      <c r="E52" s="15">
        <f>eps_y_v-(-h_calc/2)*kap_y_v</f>
        <v/>
      </c>
      <c r="F52" s="9" t="inlineStr">
        <is>
          <t>ε_y − ζκ_y</t>
        </is>
      </c>
    </row>
    <row r="53">
      <c r="A53" s="7" t="inlineStr">
        <is>
          <t>e_sy (공학)</t>
        </is>
      </c>
      <c r="B53" s="15">
        <f>gam_sy_c-(+h_calc/2)*kap_sy2_c</f>
        <v/>
      </c>
      <c r="C53" s="15">
        <f>gam_sy_c-(-h_calc/2)*kap_sy2_c</f>
        <v/>
      </c>
      <c r="D53" s="15">
        <f>gam_sy_v-(+h_calc/2)*kap_sy2_v</f>
        <v/>
      </c>
      <c r="E53" s="15">
        <f>gam_sy_v-(-h_calc/2)*kap_sy2_v</f>
        <v/>
      </c>
      <c r="F53" s="9" t="inlineStr">
        <is>
          <t>γ_sy − ζ·2κ_sy</t>
        </is>
      </c>
    </row>
    <row r="54">
      <c r="A54" s="7" t="inlineStr">
        <is>
          <t>σ_s</t>
        </is>
      </c>
      <c r="B54" s="17">
        <f>Q_*($B$51+nu_*$B$52)</f>
        <v/>
      </c>
      <c r="C54" s="17">
        <f>Q_*($C$51+nu_*$C$52)</f>
        <v/>
      </c>
      <c r="D54" s="17">
        <f>Q_*($D$51+nu_*$D$52)</f>
        <v/>
      </c>
      <c r="E54" s="17">
        <f>Q_*($E$51+nu_*$E$52)</f>
        <v/>
      </c>
      <c r="F54" s="9" t="inlineStr">
        <is>
          <t>Q (e_s + ν e_y)</t>
        </is>
      </c>
    </row>
    <row r="55">
      <c r="A55" s="7" t="inlineStr">
        <is>
          <t>σ_y</t>
        </is>
      </c>
      <c r="B55" s="17">
        <f>Q_*($B$52+nu_*$B$51)</f>
        <v/>
      </c>
      <c r="C55" s="17">
        <f>Q_*($C$52+nu_*$C$51)</f>
        <v/>
      </c>
      <c r="D55" s="17">
        <f>Q_*($D$52+nu_*$D$51)</f>
        <v/>
      </c>
      <c r="E55" s="17">
        <f>Q_*($E$52+nu_*$E$51)</f>
        <v/>
      </c>
      <c r="F55" s="9" t="inlineStr">
        <is>
          <t>Q (e_y + ν e_s)</t>
        </is>
      </c>
    </row>
    <row r="56">
      <c r="A56" s="7" t="inlineStr">
        <is>
          <t>τ_sy</t>
        </is>
      </c>
      <c r="B56" s="17">
        <f>G_*$B$53</f>
        <v/>
      </c>
      <c r="C56" s="17">
        <f>G_*$C$53</f>
        <v/>
      </c>
      <c r="D56" s="17">
        <f>G_*$D$53</f>
        <v/>
      </c>
      <c r="E56" s="17">
        <f>G_*$E$53</f>
        <v/>
      </c>
      <c r="F56" s="9" t="inlineStr">
        <is>
          <t>G e_sy</t>
        </is>
      </c>
    </row>
    <row r="57">
      <c r="A57" s="6" t="inlineStr">
        <is>
          <t>σ_vM</t>
        </is>
      </c>
      <c r="B57" s="18">
        <f>SQRT($B$54^2-$B$54*$B$55+$B$55^2+3*$B$56^2)</f>
        <v/>
      </c>
      <c r="C57" s="18">
        <f>SQRT($C$54^2-$C$54*$C$55+$C$55^2+3*$C$56^2)</f>
        <v/>
      </c>
      <c r="D57" s="18">
        <f>SQRT($D$54^2-$D$54*$D$55+$D$55^2+3*$D$56^2)</f>
        <v/>
      </c>
      <c r="E57" s="18">
        <f>SQRT($E$54^2-$E$54*$E$55+$E$55^2+3*$E$56^2)</f>
        <v/>
      </c>
      <c r="F57" s="9" t="inlineStr">
        <is>
          <t>√(σ_s² − σ_sσ_y + σ_y² + 3τ²)</t>
        </is>
      </c>
    </row>
    <row r="59">
      <c r="A59" s="5" t="inlineStr">
        <is>
          <t>결과 요약·판정</t>
        </is>
      </c>
      <c r="B59" s="5" t="n"/>
      <c r="C59" s="5" t="n"/>
      <c r="D59" s="5" t="n"/>
    </row>
    <row r="60">
      <c r="A60" s="6" t="inlineStr">
        <is>
          <t>항목</t>
        </is>
      </c>
      <c r="B60" s="6" t="inlineStr">
        <is>
          <t>값</t>
        </is>
      </c>
      <c r="C60" s="6" t="inlineStr">
        <is>
          <t>단위</t>
        </is>
      </c>
      <c r="D60" s="6" t="inlineStr">
        <is>
          <t>비고 / 수식 근거</t>
        </is>
      </c>
    </row>
    <row r="61">
      <c r="A61" s="7" t="inlineStr">
        <is>
          <t>최대 von Mises (산·골 4점)</t>
        </is>
      </c>
      <c r="B61" s="17">
        <f>MAX($B$57:$E$57)</f>
        <v/>
      </c>
      <c r="C61" s="7" t="inlineStr">
        <is>
          <t>MPa</t>
        </is>
      </c>
      <c r="D61" s="9" t="inlineStr">
        <is>
          <t>플랭크 분포는 파이썬 전용</t>
        </is>
      </c>
    </row>
    <row r="62">
      <c r="A62" s="7" t="inlineStr">
        <is>
          <t>최대 위치</t>
        </is>
      </c>
      <c r="B62" s="7">
        <f>CHOOSE(MATCH(vm_max,$B$57:$E$57,0),"산 외측","산 내측","골 외측","골 내측")</f>
        <v/>
      </c>
      <c r="C62" s="7" t="inlineStr"/>
      <c r="D62" s="9" t="inlineStr"/>
    </row>
    <row r="63">
      <c r="A63" s="7" t="inlineStr">
        <is>
          <t>산 막력 N_s = Q h (ε_s + ν ε_y)</t>
        </is>
      </c>
      <c r="B63" s="14">
        <f>Q_*h_calc*(eps_s_c+nu_*eps_y_c)</f>
        <v/>
      </c>
      <c r="C63" s="7" t="inlineStr">
        <is>
          <t>N/mm</t>
        </is>
      </c>
      <c r="D63" s="9" t="inlineStr">
        <is>
          <t>능선 국부 합력</t>
        </is>
      </c>
    </row>
    <row r="64">
      <c r="A64" s="7" t="inlineStr">
        <is>
          <t>산 막력 N_y</t>
        </is>
      </c>
      <c r="B64" s="14">
        <f>Q_*h_calc*(eps_y_c+nu_*eps_s_c)</f>
        <v/>
      </c>
      <c r="C64" s="7" t="inlineStr">
        <is>
          <t>N/mm</t>
        </is>
      </c>
      <c r="D64" s="9" t="inlineStr"/>
    </row>
    <row r="65">
      <c r="A65" s="7" t="inlineStr">
        <is>
          <t>산 모멘트 M_s = Q h³/12 (κ_s + ν κ_y)</t>
        </is>
      </c>
      <c r="B65" s="14">
        <f>Q_*h_calc^3/12*(kap_s_c+nu_*kap_y_c)</f>
        <v/>
      </c>
      <c r="C65" s="7" t="inlineStr">
        <is>
          <t>N·mm/mm</t>
        </is>
      </c>
      <c r="D65" s="9" t="inlineStr"/>
    </row>
    <row r="66">
      <c r="A66" s="7" t="inlineStr">
        <is>
          <t>산 모멘트 M_y</t>
        </is>
      </c>
      <c r="B66" s="14">
        <f>Q_*h_calc^3/12*(kap_y_c+nu_*kap_s_c)</f>
        <v/>
      </c>
      <c r="C66" s="7" t="inlineStr">
        <is>
          <t>N·mm/mm</t>
        </is>
      </c>
      <c r="D66" s="9" t="inlineStr"/>
    </row>
    <row r="67">
      <c r="A67" s="7" t="inlineStr">
        <is>
          <t>산 막 응력 von Mises</t>
        </is>
      </c>
      <c r="B67" s="17">
        <f>SQRT(Ns_c^2-Ns_c*Ny_c+Ny_c^2+3*(G_*h_calc*gam_sy_c)^2)/h_calc</f>
        <v/>
      </c>
      <c r="C67" s="7" t="inlineStr">
        <is>
          <t>MPa</t>
        </is>
      </c>
      <c r="D67" s="9" t="inlineStr">
        <is>
          <t>1차 일반 막응력 판정용</t>
        </is>
      </c>
    </row>
    <row r="68">
      <c r="A68" s="7" t="inlineStr">
        <is>
          <t>허용응력 (케이스 → S_allow)</t>
        </is>
      </c>
      <c r="B68" s="17">
        <f>IF(ISBLANK(lc_allow),IF(ISBLANK(in_Sallow),0,in_Sallow),lc_allow)</f>
        <v/>
      </c>
      <c r="C68" s="7" t="inlineStr">
        <is>
          <t>MPa</t>
        </is>
      </c>
      <c r="D68" s="9" t="inlineStr">
        <is>
          <t>0 이면 판정 생략</t>
        </is>
      </c>
    </row>
    <row r="69">
      <c r="A69" s="7" t="inlineStr">
        <is>
          <t>σ_vM,max / 허용</t>
        </is>
      </c>
      <c r="B69" s="14">
        <f>IF(allow_&gt;0,vm_max/allow_,"-")</f>
        <v/>
      </c>
      <c r="C69" s="7" t="inlineStr"/>
      <c r="D69" s="9" t="inlineStr"/>
    </row>
    <row r="70">
      <c r="A70" s="7" t="inlineStr">
        <is>
          <t>판정</t>
        </is>
      </c>
      <c r="B70" s="7">
        <f>IF(allow_&gt;0,IF(vm_max&lt;=allow_,"OK","NG"),"허용응력 미입력")</f>
        <v/>
      </c>
      <c r="C70" s="7" t="inlineStr"/>
      <c r="D70" s="9" t="inlineStr">
        <is>
          <t>선형 복원 응력 단순 비교. apex·테두리·t/R 보정 미포함</t>
        </is>
      </c>
    </row>
    <row r="71">
      <c r="A71" s="4" t="inlineStr">
        <is>
          <t>특수해 검사: N_x 만 → 산 내측 σ_s/(N_x/h) = K_t = 1+6f/h ;  κ_yy 만 → 산 N_y = E h f κ_yy (Briassoulis Eq. 12).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4" customWidth="1" min="4" max="4"/>
    <col width="60" customWidth="1" min="5" max="5"/>
  </cols>
  <sheetData>
    <row r="1">
      <c r="A1" s="1" t="inlineStr">
        <is>
          <t>파이썬 대조 (docs/example_report/results.json, 가정 기본값 입력에서만 유효)</t>
        </is>
      </c>
    </row>
    <row r="4">
      <c r="A4" s="5" t="inlineStr">
        <is>
          <t>기본값: p=9, H=3.2, t=0.6, R_c=1.5, β=60°, E=193000, ν=0.3, 하중 케이스 plate My=100 (right)</t>
        </is>
      </c>
      <c r="B4" s="5" t="n"/>
      <c r="C4" s="5" t="n"/>
      <c r="D4" s="5" t="n"/>
    </row>
    <row r="5">
      <c r="A5" s="6" t="inlineStr">
        <is>
          <t>항목</t>
        </is>
      </c>
      <c r="B5" s="6" t="inlineStr">
        <is>
          <t>엑셀</t>
        </is>
      </c>
      <c r="C5" s="6" t="inlineStr">
        <is>
          <t>파이썬 (하드코딩 참조값)</t>
        </is>
      </c>
      <c r="D5" s="6" t="inlineStr">
        <is>
          <t>상대오차</t>
        </is>
      </c>
      <c r="E5" s="6" t="inlineStr">
        <is>
          <t>출처</t>
        </is>
      </c>
    </row>
    <row r="6">
      <c r="A6" s="7" t="inlineStr">
        <is>
          <t>α [°]</t>
        </is>
      </c>
      <c r="B6" s="13">
        <f>alpha_deg</f>
        <v/>
      </c>
      <c r="C6" s="19" t="n">
        <v>44.30459982548396</v>
      </c>
      <c r="D6" s="15">
        <f>IF(ABS($C$6)&gt;1E-9,ABS($B$6/$C$6-1),ABS($B$6-$C$6))</f>
        <v/>
      </c>
      <c r="E6" s="9" t="inlineStr">
        <is>
          <t>geometry.arc_tangent</t>
        </is>
      </c>
    </row>
    <row r="7">
      <c r="A7" s="7" t="inlineStr">
        <is>
          <t>T_L</t>
        </is>
      </c>
      <c r="B7" s="13">
        <f>TL</f>
        <v/>
      </c>
      <c r="C7" s="19" t="n">
        <v>3.360059523282288</v>
      </c>
      <c r="D7" s="15">
        <f>IF(ABS($C$7)&gt;1E-9,ABS($B$7/$C$7-1),ABS($B$7-$C$7))</f>
        <v/>
      </c>
      <c r="E7" s="9" t="inlineStr">
        <is>
          <t>〃</t>
        </is>
      </c>
    </row>
    <row r="8">
      <c r="A8" s="7" t="inlineStr">
        <is>
          <t>l</t>
        </is>
      </c>
      <c r="B8" s="13">
        <f>l_</f>
        <v/>
      </c>
      <c r="C8" s="19" t="n">
        <v>5.679842945481889</v>
      </c>
      <c r="D8" s="15">
        <f>IF(ABS($C$8)&gt;1E-9,ABS($B$8/$C$8-1),ABS($B$8-$C$8))</f>
        <v/>
      </c>
      <c r="E8" s="9" t="inlineStr">
        <is>
          <t>〃</t>
        </is>
      </c>
    </row>
    <row r="9">
      <c r="A9" s="7" t="inlineStr">
        <is>
          <t>I1</t>
        </is>
      </c>
      <c r="B9" s="13">
        <f>I_1</f>
        <v/>
      </c>
      <c r="C9" s="19" t="n">
        <v>7.26095527282436</v>
      </c>
      <c r="D9" s="15">
        <f>IF(ABS($C$9)&gt;1E-9,ABS($B$9/$C$9-1),ABS($B$9-$C$9))</f>
        <v/>
      </c>
      <c r="E9" s="9" t="inlineStr">
        <is>
          <t>〃</t>
        </is>
      </c>
    </row>
    <row r="10">
      <c r="A10" s="7" t="inlineStr">
        <is>
          <t>I2</t>
        </is>
      </c>
      <c r="B10" s="13">
        <f>I_2</f>
        <v/>
      </c>
      <c r="C10" s="19" t="n">
        <v>12.98169209139065</v>
      </c>
      <c r="D10" s="15">
        <f>IF(ABS($C$10)&gt;1E-9,ABS($B$10/$C$10-1),ABS($B$10-$C$10))</f>
        <v/>
      </c>
      <c r="E10" s="9" t="inlineStr">
        <is>
          <t>〃</t>
        </is>
      </c>
    </row>
    <row r="11">
      <c r="A11" s="7" t="inlineStr">
        <is>
          <t>A11</t>
        </is>
      </c>
      <c r="B11" s="13">
        <f>A_11</f>
        <v/>
      </c>
      <c r="C11" s="19" t="n">
        <v>2602.991609323923</v>
      </c>
      <c r="D11" s="15">
        <f>IF(ABS($C$11)&gt;1E-9,ABS($B$11/$C$11-1),ABS($B$11-$C$11))</f>
        <v/>
      </c>
      <c r="E11" s="9" t="inlineStr">
        <is>
          <t>stiffness.adopted</t>
        </is>
      </c>
    </row>
    <row r="12">
      <c r="A12" s="7" t="inlineStr">
        <is>
          <t>A22</t>
        </is>
      </c>
      <c r="B12" s="13">
        <f>A_22</f>
        <v/>
      </c>
      <c r="C12" s="19" t="n">
        <v>146395.5610419064</v>
      </c>
      <c r="D12" s="15">
        <f>IF(ABS($C$12)&gt;1E-9,ABS($B$12/$C$12-1),ABS($B$12-$C$12))</f>
        <v/>
      </c>
      <c r="E12" s="9" t="inlineStr">
        <is>
          <t>〃</t>
        </is>
      </c>
    </row>
    <row r="13">
      <c r="A13" s="7" t="inlineStr">
        <is>
          <t>A66</t>
        </is>
      </c>
      <c r="B13" s="13">
        <f>A_66</f>
        <v/>
      </c>
      <c r="C13" s="19" t="n">
        <v>35286.72867310641</v>
      </c>
      <c r="D13" s="15">
        <f>IF(ABS($C$13)&gt;1E-9,ABS($B$13/$C$13-1),ABS($B$13-$C$13))</f>
        <v/>
      </c>
      <c r="E13" s="9" t="inlineStr">
        <is>
          <t>〃</t>
        </is>
      </c>
    </row>
    <row r="14">
      <c r="A14" s="7" t="inlineStr">
        <is>
          <t>D11</t>
        </is>
      </c>
      <c r="B14" s="13">
        <f>D_11</f>
        <v/>
      </c>
      <c r="C14" s="19" t="n">
        <v>3024.57674340912</v>
      </c>
      <c r="D14" s="15">
        <f>IF(ABS($C$14)&gt;1E-9,ABS($B$14/$C$14-1),ABS($B$14-$C$14))</f>
        <v/>
      </c>
      <c r="E14" s="9" t="inlineStr">
        <is>
          <t>〃</t>
        </is>
      </c>
    </row>
    <row r="15">
      <c r="A15" s="7" t="inlineStr">
        <is>
          <t>D22</t>
        </is>
      </c>
      <c r="B15" s="13">
        <f>D_22</f>
        <v/>
      </c>
      <c r="C15" s="19" t="n">
        <v>170106.0455514434</v>
      </c>
      <c r="D15" s="15">
        <f>IF(ABS($C$15)&gt;1E-9,ABS($B$15/$C$15-1),ABS($B$15-$C$15))</f>
        <v/>
      </c>
      <c r="E15" s="9" t="inlineStr">
        <is>
          <t>〃</t>
        </is>
      </c>
    </row>
    <row r="16">
      <c r="A16" s="7" t="inlineStr">
        <is>
          <t>D66</t>
        </is>
      </c>
      <c r="B16" s="13">
        <f>D_66</f>
        <v/>
      </c>
      <c r="C16" s="19" t="n">
        <v>1686.476443812315</v>
      </c>
      <c r="D16" s="15">
        <f>IF(ABS($C$16)&gt;1E-9,ABS($B$16/$C$16-1),ABS($B$16-$C$16))</f>
        <v/>
      </c>
      <c r="E16" s="9" t="inlineStr">
        <is>
          <t>〃</t>
        </is>
      </c>
    </row>
    <row r="17">
      <c r="A17" s="7" t="inlineStr">
        <is>
          <t>t_b</t>
        </is>
      </c>
      <c r="B17" s="13">
        <f>t_b</f>
        <v/>
      </c>
      <c r="C17" s="19" t="n">
        <v>3.734105149360426</v>
      </c>
      <c r="D17" s="15">
        <f>IF(ABS($C$17)&gt;1E-9,ABS($B$17/$C$17-1),ABS($B$17-$C$17))</f>
        <v/>
      </c>
      <c r="E17" s="9" t="inlineStr">
        <is>
          <t>equivalent_plate</t>
        </is>
      </c>
    </row>
    <row r="18">
      <c r="A18" s="7" t="inlineStr">
        <is>
          <t>t_s</t>
        </is>
      </c>
      <c r="B18" s="13">
        <f>t_s</f>
        <v/>
      </c>
      <c r="C18" s="19" t="n">
        <v>0.7573123927309184</v>
      </c>
      <c r="D18" s="15">
        <f>IF(ABS($C$18)&gt;1E-9,ABS($B$18/$C$18-1),ABS($B$18-$C$18))</f>
        <v/>
      </c>
      <c r="E18" s="9" t="inlineStr">
        <is>
          <t>〃</t>
        </is>
      </c>
    </row>
    <row r="19">
      <c r="A19" s="7" t="inlineStr">
        <is>
          <t>A11 우측</t>
        </is>
      </c>
      <c r="B19" s="13">
        <f>A_11_R</f>
        <v/>
      </c>
      <c r="C19" s="19" t="n">
        <v>109268.0731225338</v>
      </c>
      <c r="D19" s="15">
        <f>IF(ABS($C$19)&gt;1E-9,ABS($B$19/$C$19-1),ABS($B$19-$C$19))</f>
        <v/>
      </c>
      <c r="E19" s="9" t="inlineStr">
        <is>
          <t>transform.zone_stiffness</t>
        </is>
      </c>
    </row>
    <row r="20">
      <c r="A20" s="7" t="inlineStr">
        <is>
          <t>A16 우측</t>
        </is>
      </c>
      <c r="B20" s="13">
        <f>A_16_R</f>
        <v/>
      </c>
      <c r="C20" s="19" t="n">
        <v>31812.8999782555</v>
      </c>
      <c r="D20" s="15">
        <f>IF(ABS($C$20)&gt;1E-9,ABS($B$20/$C$20-1),ABS($B$20-$C$20))</f>
        <v/>
      </c>
      <c r="E20" s="9" t="inlineStr">
        <is>
          <t>〃</t>
        </is>
      </c>
    </row>
    <row r="21">
      <c r="A21" s="7" t="inlineStr">
        <is>
          <t>A26 우측</t>
        </is>
      </c>
      <c r="B21" s="13">
        <f>A_26_R</f>
        <v/>
      </c>
      <c r="C21" s="19" t="n">
        <v>30451.10902377159</v>
      </c>
      <c r="D21" s="15">
        <f>IF(ABS($C$21)&gt;1E-9,ABS($B$21/$C$21-1),ABS($B$21-$C$21))</f>
        <v/>
      </c>
      <c r="E21" s="9" t="inlineStr">
        <is>
          <t>〃</t>
        </is>
      </c>
    </row>
    <row r="22">
      <c r="A22" s="7" t="inlineStr">
        <is>
          <t>D12 우측</t>
        </is>
      </c>
      <c r="B22" s="13">
        <f>D_12_R</f>
        <v/>
      </c>
      <c r="C22" s="19" t="n">
        <v>31764.24248681483</v>
      </c>
      <c r="D22" s="15">
        <f>IF(ABS($C$22)&gt;1E-9,ABS($B$22/$C$22-1),ABS($B$22-$C$22))</f>
        <v/>
      </c>
      <c r="E22" s="9" t="inlineStr">
        <is>
          <t>〃</t>
        </is>
      </c>
    </row>
    <row r="23">
      <c r="A23" s="7" t="inlineStr">
        <is>
          <t>D16 우측</t>
        </is>
      </c>
      <c r="B23" s="13">
        <f>D_16_R</f>
        <v/>
      </c>
      <c r="C23" s="19" t="n">
        <v>53989.42101361325</v>
      </c>
      <c r="D23" s="15">
        <f>IF(ABS($C$23)&gt;1E-9,ABS($B$23/$C$23-1),ABS($B$23-$C$23))</f>
        <v/>
      </c>
      <c r="E23" s="9" t="inlineStr">
        <is>
          <t>〃</t>
        </is>
      </c>
    </row>
    <row r="24">
      <c r="A24" s="7" t="inlineStr">
        <is>
          <t>D66 우측</t>
        </is>
      </c>
      <c r="B24" s="13">
        <f>D_66_R</f>
        <v/>
      </c>
      <c r="C24" s="19" t="n">
        <v>32543.34590760442</v>
      </c>
      <c r="D24" s="15">
        <f>IF(ABS($C$24)&gt;1E-9,ABS($B$24/$C$24-1),ABS($B$24-$C$24))</f>
        <v/>
      </c>
      <c r="E24" s="9" t="inlineStr">
        <is>
          <t>〃</t>
        </is>
      </c>
    </row>
    <row r="25">
      <c r="A25" s="7" t="inlineStr">
        <is>
          <t>M_x 국부</t>
        </is>
      </c>
      <c r="B25" s="13">
        <f>Mx</f>
        <v/>
      </c>
      <c r="C25" s="19" t="n">
        <v>74.99999999999999</v>
      </c>
      <c r="D25" s="15">
        <f>IF(ABS($C$25)&gt;1E-9,ABS($B$25/$C$25-1),ABS($B$25-$C$25))</f>
        <v/>
      </c>
      <c r="E25" s="9" t="inlineStr">
        <is>
          <t>resultants_to_local</t>
        </is>
      </c>
    </row>
    <row r="26">
      <c r="A26" s="7" t="inlineStr">
        <is>
          <t>M_xy 국부</t>
        </is>
      </c>
      <c r="B26" s="13">
        <f>Mxy</f>
        <v/>
      </c>
      <c r="C26" s="19" t="n">
        <v>-43.30127018922194</v>
      </c>
      <c r="D26" s="15">
        <f>IF(ABS($C$26)&gt;1E-9,ABS($B$26/$C$26-1),ABS($B$26-$C$26))</f>
        <v/>
      </c>
      <c r="E26" s="9" t="inlineStr">
        <is>
          <t>〃</t>
        </is>
      </c>
    </row>
    <row r="27">
      <c r="A27" s="7" t="inlineStr">
        <is>
          <t>산 외측 σ_s</t>
        </is>
      </c>
      <c r="B27" s="13">
        <f>Stress!$B$54</f>
        <v/>
      </c>
      <c r="C27" s="19" t="n">
        <v>-1249.999999999999</v>
      </c>
      <c r="D27" s="15">
        <f>IF(ABS($C$27)&gt;1E-9,ABS($B$27/$C$27-1),ABS($B$27-$C$27))</f>
        <v/>
      </c>
      <c r="E27" s="9" t="inlineStr">
        <is>
          <t>ye_recovery (능선)</t>
        </is>
      </c>
    </row>
    <row r="28">
      <c r="A28" s="7" t="inlineStr">
        <is>
          <t>산 내측 σ_s</t>
        </is>
      </c>
      <c r="B28" s="13">
        <f>Stress!$C$54</f>
        <v/>
      </c>
      <c r="C28" s="19" t="n">
        <v>1249.999999999999</v>
      </c>
      <c r="D28" s="15">
        <f>IF(ABS($C$28)&gt;1E-9,ABS($B$28/$C$28-1),ABS($B$28-$C$28))</f>
        <v/>
      </c>
      <c r="E28" s="9" t="inlineStr">
        <is>
          <t>〃</t>
        </is>
      </c>
    </row>
    <row r="29">
      <c r="A29" s="7" t="inlineStr">
        <is>
          <t>산 외측 σ_y</t>
        </is>
      </c>
      <c r="B29" s="13">
        <f>Stress!$B$55</f>
        <v/>
      </c>
      <c r="C29" s="19" t="n">
        <v>-371.3067222777472</v>
      </c>
      <c r="D29" s="15">
        <f>IF(ABS($C$29)&gt;1E-9,ABS($B$29/$C$29-1),ABS($B$29-$C$29))</f>
        <v/>
      </c>
      <c r="E29" s="9" t="inlineStr">
        <is>
          <t>〃</t>
        </is>
      </c>
    </row>
    <row r="30">
      <c r="A30" s="7" t="inlineStr">
        <is>
          <t>산 내측 σ_y</t>
        </is>
      </c>
      <c r="B30" s="13">
        <f>Stress!$C$55</f>
        <v/>
      </c>
      <c r="C30" s="19" t="n">
        <v>380.397865971423</v>
      </c>
      <c r="D30" s="15">
        <f>IF(ABS($C$30)&gt;1E-9,ABS($B$30/$C$30-1),ABS($B$30-$C$30))</f>
        <v/>
      </c>
      <c r="E30" s="9" t="inlineStr">
        <is>
          <t>〃</t>
        </is>
      </c>
    </row>
    <row r="31">
      <c r="A31" s="7" t="inlineStr">
        <is>
          <t>산 외측 τ</t>
        </is>
      </c>
      <c r="B31" s="13">
        <f>Stress!$B$56</f>
        <v/>
      </c>
      <c r="C31" s="19" t="n">
        <v>-588.871818046812</v>
      </c>
      <c r="D31" s="15">
        <f>IF(ABS($C$31)&gt;1E-9,ABS($B$31/$C$31-1),ABS($B$31-$C$31))</f>
        <v/>
      </c>
      <c r="E31" s="9" t="inlineStr">
        <is>
          <t>〃</t>
        </is>
      </c>
    </row>
    <row r="32">
      <c r="A32" s="7" t="inlineStr">
        <is>
          <t>산 내측 τ</t>
        </is>
      </c>
      <c r="B32" s="13">
        <f>Stress!$C$56</f>
        <v/>
      </c>
      <c r="C32" s="19" t="n">
        <v>550.8800878502435</v>
      </c>
      <c r="D32" s="15">
        <f>IF(ABS($C$32)&gt;1E-9,ABS($B$32/$C$32-1),ABS($B$32-$C$32))</f>
        <v/>
      </c>
      <c r="E32" s="9" t="inlineStr">
        <is>
          <t>〃</t>
        </is>
      </c>
    </row>
    <row r="33">
      <c r="A33" s="7" t="inlineStr">
        <is>
          <t>최대 von Mises</t>
        </is>
      </c>
      <c r="B33" s="13">
        <f>vm_max</f>
        <v/>
      </c>
      <c r="C33" s="19" t="n">
        <v>1508.822498980822</v>
      </c>
      <c r="D33" s="15">
        <f>IF(ABS($C$33)&gt;1E-9,ABS($B$33/$C$33-1),ABS($B$33-$C$33))</f>
        <v/>
      </c>
      <c r="E33" s="9" t="inlineStr">
        <is>
          <t>파이썬 전 단면 최대 (산·골에서 발생)</t>
        </is>
      </c>
    </row>
    <row r="35">
      <c r="A35" s="7" t="inlineStr">
        <is>
          <t>최대 상대오차</t>
        </is>
      </c>
      <c r="B35" s="15">
        <f>MAX($D$6:$D$33)</f>
        <v/>
      </c>
      <c r="C35" s="7" t="inlineStr"/>
      <c r="D35" s="9" t="inlineStr">
        <is>
          <t>기본값 입력에서 1e-6 이하이면 시트 로직이 파이썬과 일치</t>
        </is>
      </c>
    </row>
    <row r="36">
      <c r="A36" s="7" t="inlineStr">
        <is>
          <t>판정</t>
        </is>
      </c>
      <c r="B36" s="7">
        <f>IF(chk_max&lt;0.000001,"일치","불일치 — 입력이 기본값과 다르거나 시트 수정됨")</f>
        <v/>
      </c>
      <c r="C36" s="7" t="inlineStr"/>
      <c r="D36" s="9" t="inlineStr"/>
    </row>
    <row r="37">
      <c r="A37" s="4" t="inlineStr">
        <is>
          <t>참조값은 calc/plate_model.py 실행 결과(docs/example_report/results.json)를 생성 시점에 복사한 하드코딩 값이다 (파랑).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2026-09-10T07:30:27Z</dcterms:created>
  <dcterms:modified xsi:type="dcterms:W3CDTF">2026-09-10T07:30:27Z</dcterms:modified>
</cp:coreProperties>
</file>